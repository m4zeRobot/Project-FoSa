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lip.Wolff\Documents\GitHub\Project-FoSa\LaTeX B.Sc. LRT\Strömungslehre 1\images\"/>
    </mc:Choice>
  </mc:AlternateContent>
  <xr:revisionPtr revIDLastSave="0" documentId="13_ncr:1_{FE42C251-D681-4CF5-9B08-393401867A13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Moody-Diagramm" sheetId="1" r:id="rId1"/>
  </sheets>
  <calcPr calcId="191029" iterate="1" iterateCount="1000" iterateDelta="9.9999999999999998E-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1" i="1" l="1"/>
  <c r="V51" i="1"/>
  <c r="W50" i="1"/>
  <c r="V50" i="1"/>
  <c r="W49" i="1"/>
  <c r="V49" i="1"/>
  <c r="W48" i="1"/>
  <c r="V48" i="1"/>
  <c r="W47" i="1"/>
  <c r="V47" i="1"/>
  <c r="W46" i="1"/>
  <c r="V46" i="1"/>
  <c r="W45" i="1"/>
  <c r="V45" i="1"/>
  <c r="W44" i="1"/>
  <c r="V44" i="1"/>
  <c r="W43" i="1"/>
  <c r="V43" i="1"/>
  <c r="W42" i="1"/>
  <c r="V42" i="1"/>
  <c r="W41" i="1"/>
  <c r="V41" i="1"/>
  <c r="W40" i="1"/>
  <c r="V40" i="1"/>
  <c r="W39" i="1"/>
  <c r="V39" i="1"/>
  <c r="AA38" i="1"/>
  <c r="W38" i="1"/>
  <c r="V38" i="1"/>
  <c r="AA37" i="1"/>
  <c r="W37" i="1"/>
  <c r="V37" i="1"/>
  <c r="AA36" i="1"/>
  <c r="W36" i="1"/>
  <c r="V36" i="1"/>
  <c r="AA35" i="1"/>
  <c r="W35" i="1"/>
  <c r="V35" i="1"/>
  <c r="AA34" i="1"/>
  <c r="W34" i="1"/>
  <c r="V34" i="1"/>
  <c r="AA33" i="1"/>
  <c r="W33" i="1"/>
  <c r="V33" i="1"/>
  <c r="AA32" i="1"/>
  <c r="W32" i="1"/>
  <c r="V32" i="1"/>
  <c r="AA31" i="1"/>
  <c r="W31" i="1"/>
  <c r="V31" i="1"/>
  <c r="AA30" i="1"/>
  <c r="W30" i="1"/>
  <c r="V30" i="1"/>
  <c r="AA29" i="1"/>
  <c r="W29" i="1"/>
  <c r="V29" i="1"/>
  <c r="AA28" i="1"/>
  <c r="W28" i="1"/>
  <c r="V28" i="1"/>
  <c r="AA27" i="1"/>
  <c r="W27" i="1"/>
  <c r="V27" i="1"/>
  <c r="AA26" i="1"/>
  <c r="W26" i="1"/>
  <c r="V26" i="1"/>
  <c r="AA25" i="1"/>
  <c r="W25" i="1"/>
  <c r="V25" i="1"/>
  <c r="AA24" i="1"/>
  <c r="W24" i="1"/>
  <c r="V24" i="1"/>
  <c r="AA23" i="1"/>
  <c r="W23" i="1"/>
  <c r="V23" i="1"/>
  <c r="AA22" i="1"/>
  <c r="W22" i="1"/>
  <c r="V22" i="1"/>
  <c r="AA21" i="1"/>
  <c r="W21" i="1"/>
  <c r="V21" i="1"/>
  <c r="AA20" i="1"/>
  <c r="W20" i="1"/>
  <c r="V20" i="1"/>
  <c r="AA19" i="1"/>
  <c r="W19" i="1"/>
  <c r="V19" i="1"/>
  <c r="AA18" i="1"/>
  <c r="W18" i="1"/>
  <c r="V18" i="1"/>
  <c r="AA17" i="1"/>
  <c r="W17" i="1"/>
  <c r="V17" i="1"/>
  <c r="AA16" i="1"/>
  <c r="Z16" i="1"/>
  <c r="W16" i="1"/>
  <c r="V16" i="1"/>
  <c r="W15" i="1"/>
  <c r="V15" i="1"/>
  <c r="W14" i="1"/>
  <c r="V14" i="1"/>
  <c r="Z13" i="1"/>
  <c r="W13" i="1"/>
  <c r="V13" i="1"/>
  <c r="Z12" i="1"/>
  <c r="W12" i="1"/>
  <c r="V12" i="1"/>
  <c r="Z11" i="1"/>
  <c r="W11" i="1"/>
  <c r="V11" i="1"/>
  <c r="W10" i="1"/>
  <c r="V10" i="1"/>
  <c r="W9" i="1"/>
  <c r="V9" i="1"/>
  <c r="Z8" i="1"/>
  <c r="W8" i="1"/>
  <c r="V8" i="1"/>
  <c r="Z7" i="1"/>
  <c r="W7" i="1"/>
  <c r="V7" i="1"/>
  <c r="Z6" i="1"/>
  <c r="W6" i="1"/>
  <c r="V6" i="1"/>
  <c r="Z5" i="1"/>
  <c r="W5" i="1"/>
  <c r="V5" i="1"/>
  <c r="Z4" i="1"/>
  <c r="W4" i="1"/>
  <c r="V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X4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X5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X6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X7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X8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X9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X10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X11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X12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X13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X14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X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X16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X17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X18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X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X2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X21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X22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X23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X24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X25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X26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X27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X28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X29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X30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X31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X32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X33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X34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X35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X36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X37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X38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X39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X40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X41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X42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X43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X44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X4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X46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X47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X48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X49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X5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X51" i="1"/>
</calcChain>
</file>

<file path=xl/sharedStrings.xml><?xml version="1.0" encoding="utf-8"?>
<sst xmlns="http://schemas.openxmlformats.org/spreadsheetml/2006/main" count="10" uniqueCount="9">
  <si>
    <t>Ende Übergang</t>
  </si>
  <si>
    <t>Re</t>
  </si>
  <si>
    <t>λ</t>
  </si>
  <si>
    <t>Hilfslinien</t>
  </si>
  <si>
    <r>
      <rPr>
        <i/>
        <sz val="11"/>
        <color theme="0"/>
        <rFont val="CMU Serif"/>
      </rPr>
      <t>k</t>
    </r>
    <r>
      <rPr>
        <vertAlign val="subscript"/>
        <sz val="11"/>
        <color theme="0"/>
        <rFont val="CMU Serif"/>
      </rPr>
      <t>s</t>
    </r>
    <r>
      <rPr>
        <sz val="11"/>
        <color theme="0"/>
        <rFont val="CMU Serif"/>
      </rPr>
      <t xml:space="preserve"> /</t>
    </r>
    <r>
      <rPr>
        <i/>
        <sz val="11"/>
        <color theme="0"/>
        <rFont val="CMU Serif"/>
      </rPr>
      <t>D</t>
    </r>
  </si>
  <si>
    <r>
      <rPr>
        <i/>
        <sz val="11"/>
        <color theme="0"/>
        <rFont val="CMU Serif"/>
      </rPr>
      <t>λ</t>
    </r>
    <r>
      <rPr>
        <sz val="11"/>
        <color theme="0"/>
        <rFont val="CMU Serif"/>
      </rPr>
      <t xml:space="preserve"> nach ①</t>
    </r>
  </si>
  <si>
    <r>
      <rPr>
        <i/>
        <sz val="11"/>
        <color theme="0"/>
        <rFont val="CMU Serif"/>
      </rPr>
      <t>λ</t>
    </r>
    <r>
      <rPr>
        <sz val="11"/>
        <color theme="0"/>
        <rFont val="CMU Serif"/>
      </rPr>
      <t xml:space="preserve"> nach ②</t>
    </r>
  </si>
  <si>
    <r>
      <rPr>
        <i/>
        <sz val="11"/>
        <color theme="0"/>
        <rFont val="CMU Serif"/>
      </rPr>
      <t>λ</t>
    </r>
    <r>
      <rPr>
        <sz val="11"/>
        <color theme="0"/>
        <rFont val="CMU Serif"/>
      </rPr>
      <t xml:space="preserve"> nach ③</t>
    </r>
  </si>
  <si>
    <r>
      <rPr>
        <i/>
        <sz val="11"/>
        <color theme="0"/>
        <rFont val="CMU Serif"/>
      </rPr>
      <t>λ</t>
    </r>
    <r>
      <rPr>
        <sz val="11"/>
        <color theme="0"/>
        <rFont val="CMU Serif"/>
      </rPr>
      <t xml:space="preserve"> nach ④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</si>
</sst>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E+00"/>
  </numFmts>
  <fonts count="9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CMU Serif"/>
    </font>
    <font>
      <sz val="11"/>
      <color theme="1"/>
      <name val="CMU Serif"/>
    </font>
    <font>
      <vertAlign val="subscript"/>
      <sz val="11"/>
      <color theme="0"/>
      <name val="CMU Serif"/>
    </font>
    <font>
      <i/>
      <sz val="11"/>
      <color theme="0"/>
      <name val="CMU Serif"/>
    </font>
    <font>
      <sz val="10"/>
      <color theme="1"/>
      <name val="Arial Unicode MS"/>
    </font>
    <font>
      <sz val="11"/>
      <color theme="1" tint="0.499984740745262"/>
      <name val="Aptos Narrow"/>
      <family val="2"/>
      <scheme val="minor"/>
    </font>
    <font>
      <b/>
      <sz val="11"/>
      <color theme="1" tint="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3" fillId="3" borderId="1" xfId="0" quotePrefix="1" applyFont="1" applyFill="1" applyBorder="1" applyAlignment="1">
      <alignment horizontal="center" vertical="center"/>
    </xf>
    <xf numFmtId="0" fontId="0" fillId="0" borderId="4" xfId="0" applyBorder="1"/>
    <xf numFmtId="0" fontId="0" fillId="0" borderId="2" xfId="0" applyBorder="1"/>
    <xf numFmtId="0" fontId="8" fillId="0" borderId="1" xfId="0" applyFont="1" applyBorder="1" applyAlignment="1">
      <alignment horizontal="center" vertical="center"/>
    </xf>
    <xf numFmtId="0" fontId="0" fillId="0" borderId="8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r>
              <a:rPr lang="de-DE"/>
              <a:t>Moody-Diagramm</a:t>
            </a:r>
          </a:p>
        </c:rich>
      </c:tx>
      <c:layout>
        <c:manualLayout>
          <c:xMode val="edge"/>
          <c:yMode val="edge"/>
          <c:x val="0.4339214259961367"/>
          <c:y val="1.7378382753733594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5.8139367194485307E-2"/>
          <c:y val="0.10415694224892923"/>
          <c:w val="0.86520506511562345"/>
          <c:h val="0.82277108202191451"/>
        </c:manualLayout>
      </c:layout>
      <c:scatterChart>
        <c:scatterStyle val="smoothMarker"/>
        <c:varyColors val="0"/>
        <c:ser>
          <c:idx val="0"/>
          <c:order val="0"/>
          <c:tx>
            <c:v>Hilfslinie 0,012</c:v>
          </c:tx>
          <c:spPr>
            <a:ln w="9525">
              <a:solidFill>
                <a:schemeClr val="bg1">
                  <a:lumMod val="8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'Moody-Diagramm'!$Z$16:$AA$16</c:f>
              <c:numCache>
                <c:formatCode>General</c:formatCode>
                <c:ptCount val="2"/>
                <c:pt idx="0">
                  <c:v>1000</c:v>
                </c:pt>
                <c:pt idx="1">
                  <c:v>100000000</c:v>
                </c:pt>
              </c:numCache>
            </c:numRef>
          </c:xVal>
          <c:yVal>
            <c:numRef>
              <c:f>'Moody-Diagramm'!$Z$17:$AA$17</c:f>
              <c:numCache>
                <c:formatCode>General</c:formatCode>
                <c:ptCount val="2"/>
                <c:pt idx="0">
                  <c:v>1.2E-2</c:v>
                </c:pt>
                <c:pt idx="1">
                  <c:v>1.2E-2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86-476F-8CFA-8E0E60416979}"/>
            </c:ext>
          </c:extLst>
        </c:ser>
        <c:ser>
          <c:idx val="1"/>
          <c:order val="1"/>
          <c:tx>
            <c:v>Hilfslinie 0,014</c:v>
          </c:tx>
          <c:spPr>
            <a:ln w="9525">
              <a:solidFill>
                <a:schemeClr val="bg1">
                  <a:lumMod val="8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'Moody-Diagramm'!$Z$16:$AA$16</c:f>
              <c:numCache>
                <c:formatCode>General</c:formatCode>
                <c:ptCount val="2"/>
                <c:pt idx="0">
                  <c:v>1000</c:v>
                </c:pt>
                <c:pt idx="1">
                  <c:v>100000000</c:v>
                </c:pt>
              </c:numCache>
            </c:numRef>
          </c:xVal>
          <c:yVal>
            <c:numRef>
              <c:f>'Moody-Diagramm'!$Z$18:$AA$18</c:f>
              <c:numCache>
                <c:formatCode>General</c:formatCode>
                <c:ptCount val="2"/>
                <c:pt idx="0">
                  <c:v>1.4E-2</c:v>
                </c:pt>
                <c:pt idx="1">
                  <c:v>1.4E-2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86-476F-8CFA-8E0E60416979}"/>
            </c:ext>
          </c:extLst>
        </c:ser>
        <c:ser>
          <c:idx val="2"/>
          <c:order val="2"/>
          <c:tx>
            <c:v>Hilfslinie 0,016</c:v>
          </c:tx>
          <c:spPr>
            <a:ln w="9525">
              <a:solidFill>
                <a:schemeClr val="bg1">
                  <a:lumMod val="8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'Moody-Diagramm'!$Z$16:$AA$16</c:f>
              <c:numCache>
                <c:formatCode>General</c:formatCode>
                <c:ptCount val="2"/>
                <c:pt idx="0">
                  <c:v>1000</c:v>
                </c:pt>
                <c:pt idx="1">
                  <c:v>100000000</c:v>
                </c:pt>
              </c:numCache>
            </c:numRef>
          </c:xVal>
          <c:yVal>
            <c:numRef>
              <c:f>'Moody-Diagramm'!$Z$19:$AA$19</c:f>
              <c:numCache>
                <c:formatCode>General</c:formatCode>
                <c:ptCount val="2"/>
                <c:pt idx="0">
                  <c:v>1.6E-2</c:v>
                </c:pt>
                <c:pt idx="1">
                  <c:v>1.6E-2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186-476F-8CFA-8E0E60416979}"/>
            </c:ext>
          </c:extLst>
        </c:ser>
        <c:ser>
          <c:idx val="3"/>
          <c:order val="3"/>
          <c:tx>
            <c:v>Hilfslinie 0,018</c:v>
          </c:tx>
          <c:spPr>
            <a:ln w="9525">
              <a:solidFill>
                <a:schemeClr val="bg1">
                  <a:lumMod val="8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'Moody-Diagramm'!$Z$16:$AA$16</c:f>
              <c:numCache>
                <c:formatCode>General</c:formatCode>
                <c:ptCount val="2"/>
                <c:pt idx="0">
                  <c:v>1000</c:v>
                </c:pt>
                <c:pt idx="1">
                  <c:v>100000000</c:v>
                </c:pt>
              </c:numCache>
            </c:numRef>
          </c:xVal>
          <c:yVal>
            <c:numRef>
              <c:f>'Moody-Diagramm'!$Z$20:$AA$20</c:f>
              <c:numCache>
                <c:formatCode>General</c:formatCode>
                <c:ptCount val="2"/>
                <c:pt idx="0">
                  <c:v>1.7999999999999999E-2</c:v>
                </c:pt>
                <c:pt idx="1">
                  <c:v>1.7999999999999999E-2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186-476F-8CFA-8E0E60416979}"/>
            </c:ext>
          </c:extLst>
        </c:ser>
        <c:ser>
          <c:idx val="4"/>
          <c:order val="4"/>
          <c:tx>
            <c:v>Hilfslinie 0,022</c:v>
          </c:tx>
          <c:spPr>
            <a:ln w="9525">
              <a:solidFill>
                <a:schemeClr val="bg1">
                  <a:lumMod val="8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'Moody-Diagramm'!$Z$16:$AA$16</c:f>
              <c:numCache>
                <c:formatCode>General</c:formatCode>
                <c:ptCount val="2"/>
                <c:pt idx="0">
                  <c:v>1000</c:v>
                </c:pt>
                <c:pt idx="1">
                  <c:v>100000000</c:v>
                </c:pt>
              </c:numCache>
            </c:numRef>
          </c:xVal>
          <c:yVal>
            <c:numRef>
              <c:f>'Moody-Diagramm'!$Z$21:$AA$21</c:f>
              <c:numCache>
                <c:formatCode>General</c:formatCode>
                <c:ptCount val="2"/>
                <c:pt idx="0">
                  <c:v>2.1999999999999999E-2</c:v>
                </c:pt>
                <c:pt idx="1">
                  <c:v>2.1999999999999999E-2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186-476F-8CFA-8E0E60416979}"/>
            </c:ext>
          </c:extLst>
        </c:ser>
        <c:ser>
          <c:idx val="5"/>
          <c:order val="5"/>
          <c:tx>
            <c:v>Hilfslinie 0,024</c:v>
          </c:tx>
          <c:spPr>
            <a:ln w="9525">
              <a:solidFill>
                <a:schemeClr val="bg1">
                  <a:lumMod val="8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'Moody-Diagramm'!$Z$16:$AA$16</c:f>
              <c:numCache>
                <c:formatCode>General</c:formatCode>
                <c:ptCount val="2"/>
                <c:pt idx="0">
                  <c:v>1000</c:v>
                </c:pt>
                <c:pt idx="1">
                  <c:v>100000000</c:v>
                </c:pt>
              </c:numCache>
            </c:numRef>
          </c:xVal>
          <c:yVal>
            <c:numRef>
              <c:f>'Moody-Diagramm'!$Z$22:$AA$22</c:f>
              <c:numCache>
                <c:formatCode>General</c:formatCode>
                <c:ptCount val="2"/>
                <c:pt idx="0">
                  <c:v>2.4E-2</c:v>
                </c:pt>
                <c:pt idx="1">
                  <c:v>2.4E-2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186-476F-8CFA-8E0E60416979}"/>
            </c:ext>
          </c:extLst>
        </c:ser>
        <c:ser>
          <c:idx val="6"/>
          <c:order val="6"/>
          <c:tx>
            <c:v>Hilfslinie 0,026</c:v>
          </c:tx>
          <c:spPr>
            <a:ln w="9525">
              <a:solidFill>
                <a:schemeClr val="bg1">
                  <a:lumMod val="8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'Moody-Diagramm'!$Z$16:$AA$16</c:f>
              <c:numCache>
                <c:formatCode>General</c:formatCode>
                <c:ptCount val="2"/>
                <c:pt idx="0">
                  <c:v>1000</c:v>
                </c:pt>
                <c:pt idx="1">
                  <c:v>100000000</c:v>
                </c:pt>
              </c:numCache>
            </c:numRef>
          </c:xVal>
          <c:yVal>
            <c:numRef>
              <c:f>'Moody-Diagramm'!$Z$23:$AA$23</c:f>
              <c:numCache>
                <c:formatCode>General</c:formatCode>
                <c:ptCount val="2"/>
                <c:pt idx="0">
                  <c:v>2.5999999999999999E-2</c:v>
                </c:pt>
                <c:pt idx="1">
                  <c:v>2.5999999999999999E-2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186-476F-8CFA-8E0E60416979}"/>
            </c:ext>
          </c:extLst>
        </c:ser>
        <c:ser>
          <c:idx val="7"/>
          <c:order val="7"/>
          <c:tx>
            <c:v>Hilfslinie 0,028</c:v>
          </c:tx>
          <c:spPr>
            <a:ln w="9525">
              <a:solidFill>
                <a:schemeClr val="bg1">
                  <a:lumMod val="8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'Moody-Diagramm'!$Z$16:$AA$16</c:f>
              <c:numCache>
                <c:formatCode>General</c:formatCode>
                <c:ptCount val="2"/>
                <c:pt idx="0">
                  <c:v>1000</c:v>
                </c:pt>
                <c:pt idx="1">
                  <c:v>100000000</c:v>
                </c:pt>
              </c:numCache>
            </c:numRef>
          </c:xVal>
          <c:yVal>
            <c:numRef>
              <c:f>'Moody-Diagramm'!$Z$24:$AA$24</c:f>
              <c:numCache>
                <c:formatCode>General</c:formatCode>
                <c:ptCount val="2"/>
                <c:pt idx="0">
                  <c:v>2.8000000000000001E-2</c:v>
                </c:pt>
                <c:pt idx="1">
                  <c:v>2.8000000000000001E-2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186-476F-8CFA-8E0E60416979}"/>
            </c:ext>
          </c:extLst>
        </c:ser>
        <c:ser>
          <c:idx val="8"/>
          <c:order val="8"/>
          <c:tx>
            <c:v>Hilfslinie 0,032</c:v>
          </c:tx>
          <c:spPr>
            <a:ln w="9525">
              <a:solidFill>
                <a:schemeClr val="bg1">
                  <a:lumMod val="8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'Moody-Diagramm'!$Z$16:$AA$16</c:f>
              <c:numCache>
                <c:formatCode>General</c:formatCode>
                <c:ptCount val="2"/>
                <c:pt idx="0">
                  <c:v>1000</c:v>
                </c:pt>
                <c:pt idx="1">
                  <c:v>100000000</c:v>
                </c:pt>
              </c:numCache>
            </c:numRef>
          </c:xVal>
          <c:yVal>
            <c:numRef>
              <c:f>'Moody-Diagramm'!$Z$25:$AA$25</c:f>
              <c:numCache>
                <c:formatCode>General</c:formatCode>
                <c:ptCount val="2"/>
                <c:pt idx="0">
                  <c:v>3.2000000000000001E-2</c:v>
                </c:pt>
                <c:pt idx="1">
                  <c:v>3.2000000000000001E-2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186-476F-8CFA-8E0E60416979}"/>
            </c:ext>
          </c:extLst>
        </c:ser>
        <c:ser>
          <c:idx val="9"/>
          <c:order val="9"/>
          <c:tx>
            <c:v>Hilfslinie 0,034</c:v>
          </c:tx>
          <c:spPr>
            <a:ln w="9525">
              <a:solidFill>
                <a:schemeClr val="bg1">
                  <a:lumMod val="8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'Moody-Diagramm'!$Z$16:$AA$16</c:f>
              <c:numCache>
                <c:formatCode>General</c:formatCode>
                <c:ptCount val="2"/>
                <c:pt idx="0">
                  <c:v>1000</c:v>
                </c:pt>
                <c:pt idx="1">
                  <c:v>100000000</c:v>
                </c:pt>
              </c:numCache>
            </c:numRef>
          </c:xVal>
          <c:yVal>
            <c:numRef>
              <c:f>'Moody-Diagramm'!$Z$26:$AA$26</c:f>
              <c:numCache>
                <c:formatCode>General</c:formatCode>
                <c:ptCount val="2"/>
                <c:pt idx="0">
                  <c:v>3.4000000000000002E-2</c:v>
                </c:pt>
                <c:pt idx="1">
                  <c:v>3.4000000000000002E-2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186-476F-8CFA-8E0E60416979}"/>
            </c:ext>
          </c:extLst>
        </c:ser>
        <c:ser>
          <c:idx val="10"/>
          <c:order val="10"/>
          <c:tx>
            <c:v>Hilfslinie 0,036</c:v>
          </c:tx>
          <c:spPr>
            <a:ln w="9525">
              <a:solidFill>
                <a:schemeClr val="bg1">
                  <a:lumMod val="8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'Moody-Diagramm'!$Z$16:$AA$16</c:f>
              <c:numCache>
                <c:formatCode>General</c:formatCode>
                <c:ptCount val="2"/>
                <c:pt idx="0">
                  <c:v>1000</c:v>
                </c:pt>
                <c:pt idx="1">
                  <c:v>100000000</c:v>
                </c:pt>
              </c:numCache>
            </c:numRef>
          </c:xVal>
          <c:yVal>
            <c:numRef>
              <c:f>'Moody-Diagramm'!$Z$27:$AA$27</c:f>
              <c:numCache>
                <c:formatCode>General</c:formatCode>
                <c:ptCount val="2"/>
                <c:pt idx="0">
                  <c:v>3.5999999999999997E-2</c:v>
                </c:pt>
                <c:pt idx="1">
                  <c:v>3.5999999999999997E-2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186-476F-8CFA-8E0E60416979}"/>
            </c:ext>
          </c:extLst>
        </c:ser>
        <c:ser>
          <c:idx val="11"/>
          <c:order val="11"/>
          <c:tx>
            <c:v>Hilfslinie 0,038</c:v>
          </c:tx>
          <c:spPr>
            <a:ln w="9525">
              <a:solidFill>
                <a:schemeClr val="bg1">
                  <a:lumMod val="8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'Moody-Diagramm'!$Z$16:$AA$16</c:f>
              <c:numCache>
                <c:formatCode>General</c:formatCode>
                <c:ptCount val="2"/>
                <c:pt idx="0">
                  <c:v>1000</c:v>
                </c:pt>
                <c:pt idx="1">
                  <c:v>100000000</c:v>
                </c:pt>
              </c:numCache>
            </c:numRef>
          </c:xVal>
          <c:yVal>
            <c:numRef>
              <c:f>'Moody-Diagramm'!$Z$28:$AA$28</c:f>
              <c:numCache>
                <c:formatCode>General</c:formatCode>
                <c:ptCount val="2"/>
                <c:pt idx="0">
                  <c:v>3.7999999999999999E-2</c:v>
                </c:pt>
                <c:pt idx="1">
                  <c:v>3.7999999999999999E-2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186-476F-8CFA-8E0E60416979}"/>
            </c:ext>
          </c:extLst>
        </c:ser>
        <c:ser>
          <c:idx val="12"/>
          <c:order val="12"/>
          <c:tx>
            <c:v>Hilfslinie 0,042</c:v>
          </c:tx>
          <c:spPr>
            <a:ln w="9525">
              <a:solidFill>
                <a:schemeClr val="bg1">
                  <a:lumMod val="8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'Moody-Diagramm'!$Z$16:$AA$16</c:f>
              <c:numCache>
                <c:formatCode>General</c:formatCode>
                <c:ptCount val="2"/>
                <c:pt idx="0">
                  <c:v>1000</c:v>
                </c:pt>
                <c:pt idx="1">
                  <c:v>100000000</c:v>
                </c:pt>
              </c:numCache>
            </c:numRef>
          </c:xVal>
          <c:yVal>
            <c:numRef>
              <c:f>'Moody-Diagramm'!$Z$29:$AA$29</c:f>
              <c:numCache>
                <c:formatCode>General</c:formatCode>
                <c:ptCount val="2"/>
                <c:pt idx="0">
                  <c:v>4.2000000000000003E-2</c:v>
                </c:pt>
                <c:pt idx="1">
                  <c:v>4.2000000000000003E-2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186-476F-8CFA-8E0E60416979}"/>
            </c:ext>
          </c:extLst>
        </c:ser>
        <c:ser>
          <c:idx val="13"/>
          <c:order val="13"/>
          <c:tx>
            <c:v>Hilfslinie 0,044</c:v>
          </c:tx>
          <c:spPr>
            <a:ln w="9525">
              <a:solidFill>
                <a:schemeClr val="bg1">
                  <a:lumMod val="8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'Moody-Diagramm'!$Z$16:$AA$16</c:f>
              <c:numCache>
                <c:formatCode>General</c:formatCode>
                <c:ptCount val="2"/>
                <c:pt idx="0">
                  <c:v>1000</c:v>
                </c:pt>
                <c:pt idx="1">
                  <c:v>100000000</c:v>
                </c:pt>
              </c:numCache>
            </c:numRef>
          </c:xVal>
          <c:yVal>
            <c:numRef>
              <c:f>'Moody-Diagramm'!$Z$30:$AA$30</c:f>
              <c:numCache>
                <c:formatCode>General</c:formatCode>
                <c:ptCount val="2"/>
                <c:pt idx="0">
                  <c:v>4.3999999999999997E-2</c:v>
                </c:pt>
                <c:pt idx="1">
                  <c:v>4.3999999999999997E-2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0186-476F-8CFA-8E0E60416979}"/>
            </c:ext>
          </c:extLst>
        </c:ser>
        <c:ser>
          <c:idx val="14"/>
          <c:order val="14"/>
          <c:tx>
            <c:v>Hilfslinie 0,046</c:v>
          </c:tx>
          <c:spPr>
            <a:ln w="9525">
              <a:solidFill>
                <a:schemeClr val="bg1">
                  <a:lumMod val="8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'Moody-Diagramm'!$Z$16:$AA$16</c:f>
              <c:numCache>
                <c:formatCode>General</c:formatCode>
                <c:ptCount val="2"/>
                <c:pt idx="0">
                  <c:v>1000</c:v>
                </c:pt>
                <c:pt idx="1">
                  <c:v>100000000</c:v>
                </c:pt>
              </c:numCache>
            </c:numRef>
          </c:xVal>
          <c:yVal>
            <c:numRef>
              <c:f>'Moody-Diagramm'!$Z$31:$AA$31</c:f>
              <c:numCache>
                <c:formatCode>General</c:formatCode>
                <c:ptCount val="2"/>
                <c:pt idx="0">
                  <c:v>4.5999999999999999E-2</c:v>
                </c:pt>
                <c:pt idx="1">
                  <c:v>4.5999999999999999E-2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0186-476F-8CFA-8E0E60416979}"/>
            </c:ext>
          </c:extLst>
        </c:ser>
        <c:ser>
          <c:idx val="15"/>
          <c:order val="15"/>
          <c:tx>
            <c:v>Hilfslinie 0,048</c:v>
          </c:tx>
          <c:spPr>
            <a:ln w="9525">
              <a:solidFill>
                <a:schemeClr val="bg1">
                  <a:lumMod val="8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'Moody-Diagramm'!$Z$16:$AA$16</c:f>
              <c:numCache>
                <c:formatCode>General</c:formatCode>
                <c:ptCount val="2"/>
                <c:pt idx="0">
                  <c:v>1000</c:v>
                </c:pt>
                <c:pt idx="1">
                  <c:v>100000000</c:v>
                </c:pt>
              </c:numCache>
            </c:numRef>
          </c:xVal>
          <c:yVal>
            <c:numRef>
              <c:f>'Moody-Diagramm'!$Z$32:$AA$32</c:f>
              <c:numCache>
                <c:formatCode>General</c:formatCode>
                <c:ptCount val="2"/>
                <c:pt idx="0">
                  <c:v>4.8000000000000001E-2</c:v>
                </c:pt>
                <c:pt idx="1">
                  <c:v>4.8000000000000001E-2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0186-476F-8CFA-8E0E60416979}"/>
            </c:ext>
          </c:extLst>
        </c:ser>
        <c:ser>
          <c:idx val="16"/>
          <c:order val="16"/>
          <c:tx>
            <c:v>Hilfslinie 0,052</c:v>
          </c:tx>
          <c:spPr>
            <a:ln w="9525">
              <a:solidFill>
                <a:schemeClr val="bg1">
                  <a:lumMod val="8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'Moody-Diagramm'!$Z$16:$AA$16</c:f>
              <c:numCache>
                <c:formatCode>General</c:formatCode>
                <c:ptCount val="2"/>
                <c:pt idx="0">
                  <c:v>1000</c:v>
                </c:pt>
                <c:pt idx="1">
                  <c:v>100000000</c:v>
                </c:pt>
              </c:numCache>
            </c:numRef>
          </c:xVal>
          <c:yVal>
            <c:numRef>
              <c:f>'Moody-Diagramm'!$Z$33:$AA$33</c:f>
              <c:numCache>
                <c:formatCode>General</c:formatCode>
                <c:ptCount val="2"/>
                <c:pt idx="0">
                  <c:v>5.1999999999999998E-2</c:v>
                </c:pt>
                <c:pt idx="1">
                  <c:v>5.1999999999999998E-2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0186-476F-8CFA-8E0E60416979}"/>
            </c:ext>
          </c:extLst>
        </c:ser>
        <c:ser>
          <c:idx val="17"/>
          <c:order val="17"/>
          <c:tx>
            <c:v>Hilfslinie 0,054</c:v>
          </c:tx>
          <c:spPr>
            <a:ln w="9525">
              <a:solidFill>
                <a:schemeClr val="bg1">
                  <a:lumMod val="8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'Moody-Diagramm'!$Z$16:$AA$16</c:f>
              <c:numCache>
                <c:formatCode>General</c:formatCode>
                <c:ptCount val="2"/>
                <c:pt idx="0">
                  <c:v>1000</c:v>
                </c:pt>
                <c:pt idx="1">
                  <c:v>100000000</c:v>
                </c:pt>
              </c:numCache>
            </c:numRef>
          </c:xVal>
          <c:yVal>
            <c:numRef>
              <c:f>'Moody-Diagramm'!$Z$34:$AA$34</c:f>
              <c:numCache>
                <c:formatCode>General</c:formatCode>
                <c:ptCount val="2"/>
                <c:pt idx="0">
                  <c:v>5.3999999999999999E-2</c:v>
                </c:pt>
                <c:pt idx="1">
                  <c:v>5.3999999999999999E-2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0186-476F-8CFA-8E0E60416979}"/>
            </c:ext>
          </c:extLst>
        </c:ser>
        <c:ser>
          <c:idx val="18"/>
          <c:order val="18"/>
          <c:tx>
            <c:v>Hilfslinie 0,056</c:v>
          </c:tx>
          <c:spPr>
            <a:ln w="9525">
              <a:solidFill>
                <a:schemeClr val="bg1">
                  <a:lumMod val="8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'Moody-Diagramm'!$Z$16:$AA$16</c:f>
              <c:numCache>
                <c:formatCode>General</c:formatCode>
                <c:ptCount val="2"/>
                <c:pt idx="0">
                  <c:v>1000</c:v>
                </c:pt>
                <c:pt idx="1">
                  <c:v>100000000</c:v>
                </c:pt>
              </c:numCache>
            </c:numRef>
          </c:xVal>
          <c:yVal>
            <c:numRef>
              <c:f>'Moody-Diagramm'!$Z$35:$AA$35</c:f>
              <c:numCache>
                <c:formatCode>General</c:formatCode>
                <c:ptCount val="2"/>
                <c:pt idx="0">
                  <c:v>5.6000000000000001E-2</c:v>
                </c:pt>
                <c:pt idx="1">
                  <c:v>5.6000000000000001E-2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0186-476F-8CFA-8E0E60416979}"/>
            </c:ext>
          </c:extLst>
        </c:ser>
        <c:ser>
          <c:idx val="19"/>
          <c:order val="19"/>
          <c:tx>
            <c:v>Hilfslinie 0,058</c:v>
          </c:tx>
          <c:spPr>
            <a:ln w="9525">
              <a:solidFill>
                <a:schemeClr val="bg1">
                  <a:lumMod val="8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'Moody-Diagramm'!$Z$16:$AA$16</c:f>
              <c:numCache>
                <c:formatCode>General</c:formatCode>
                <c:ptCount val="2"/>
                <c:pt idx="0">
                  <c:v>1000</c:v>
                </c:pt>
                <c:pt idx="1">
                  <c:v>100000000</c:v>
                </c:pt>
              </c:numCache>
            </c:numRef>
          </c:xVal>
          <c:yVal>
            <c:numRef>
              <c:f>'Moody-Diagramm'!$Z$36:$AA$36</c:f>
              <c:numCache>
                <c:formatCode>General</c:formatCode>
                <c:ptCount val="2"/>
                <c:pt idx="0">
                  <c:v>5.8000000000000003E-2</c:v>
                </c:pt>
                <c:pt idx="1">
                  <c:v>5.8000000000000003E-2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0186-476F-8CFA-8E0E60416979}"/>
            </c:ext>
          </c:extLst>
        </c:ser>
        <c:ser>
          <c:idx val="20"/>
          <c:order val="20"/>
          <c:tx>
            <c:v>Hilfslinie 0,065</c:v>
          </c:tx>
          <c:spPr>
            <a:ln w="9525">
              <a:solidFill>
                <a:schemeClr val="bg1">
                  <a:lumMod val="8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'Moody-Diagramm'!$Z$16:$AA$16</c:f>
              <c:numCache>
                <c:formatCode>General</c:formatCode>
                <c:ptCount val="2"/>
                <c:pt idx="0">
                  <c:v>1000</c:v>
                </c:pt>
                <c:pt idx="1">
                  <c:v>100000000</c:v>
                </c:pt>
              </c:numCache>
            </c:numRef>
          </c:xVal>
          <c:yVal>
            <c:numRef>
              <c:f>'Moody-Diagramm'!$Z$37:$AA$37</c:f>
              <c:numCache>
                <c:formatCode>General</c:formatCode>
                <c:ptCount val="2"/>
                <c:pt idx="0">
                  <c:v>6.5000000000000002E-2</c:v>
                </c:pt>
                <c:pt idx="1">
                  <c:v>6.5000000000000002E-2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0186-476F-8CFA-8E0E60416979}"/>
            </c:ext>
          </c:extLst>
        </c:ser>
        <c:ser>
          <c:idx val="21"/>
          <c:order val="21"/>
          <c:tx>
            <c:v>Hilfslinie 0,075</c:v>
          </c:tx>
          <c:spPr>
            <a:ln w="9525">
              <a:solidFill>
                <a:schemeClr val="bg1">
                  <a:lumMod val="8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'Moody-Diagramm'!$Z$16:$AA$16</c:f>
              <c:numCache>
                <c:formatCode>General</c:formatCode>
                <c:ptCount val="2"/>
                <c:pt idx="0">
                  <c:v>1000</c:v>
                </c:pt>
                <c:pt idx="1">
                  <c:v>100000000</c:v>
                </c:pt>
              </c:numCache>
            </c:numRef>
          </c:xVal>
          <c:yVal>
            <c:numRef>
              <c:f>'Moody-Diagramm'!$Z$38:$AA$38</c:f>
              <c:numCache>
                <c:formatCode>General</c:formatCode>
                <c:ptCount val="2"/>
                <c:pt idx="0">
                  <c:v>7.4999999999999997E-2</c:v>
                </c:pt>
                <c:pt idx="1">
                  <c:v>7.4999999999999997E-2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0186-476F-8CFA-8E0E60416979}"/>
            </c:ext>
          </c:extLst>
        </c:ser>
        <c:ser>
          <c:idx val="22"/>
          <c:order val="22"/>
          <c:tx>
            <c:strRef>
              <c:f>'Moody-Diagramm'!$D$3</c:f>
              <c:strCache>
                <c:ptCount val="1"/>
                <c:pt idx="0">
                  <c:v>5,0E-02</c:v>
                </c:pt>
              </c:strCache>
            </c:strRef>
          </c:tx>
          <c:spPr>
            <a:ln w="15875" cap="rnd">
              <a:solidFill>
                <a:schemeClr val="tx2">
                  <a:lumMod val="75000"/>
                  <a:lumOff val="25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'Moody-Diagramm'!$C$4:$C$51</c:f>
              <c:numCache>
                <c:formatCode>0.0E+00</c:formatCode>
                <c:ptCount val="48"/>
                <c:pt idx="0">
                  <c:v>1000</c:v>
                </c:pt>
                <c:pt idx="1">
                  <c:v>1300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13000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60000</c:v>
                </c:pt>
                <c:pt idx="17">
                  <c:v>70000</c:v>
                </c:pt>
                <c:pt idx="18">
                  <c:v>80000</c:v>
                </c:pt>
                <c:pt idx="19">
                  <c:v>90000</c:v>
                </c:pt>
                <c:pt idx="20">
                  <c:v>100000</c:v>
                </c:pt>
                <c:pt idx="21">
                  <c:v>200000</c:v>
                </c:pt>
                <c:pt idx="22">
                  <c:v>300000</c:v>
                </c:pt>
                <c:pt idx="23">
                  <c:v>400000</c:v>
                </c:pt>
                <c:pt idx="24">
                  <c:v>500000</c:v>
                </c:pt>
                <c:pt idx="25">
                  <c:v>600000</c:v>
                </c:pt>
                <c:pt idx="26">
                  <c:v>700000</c:v>
                </c:pt>
                <c:pt idx="27">
                  <c:v>800000</c:v>
                </c:pt>
                <c:pt idx="28">
                  <c:v>900000</c:v>
                </c:pt>
                <c:pt idx="29">
                  <c:v>1000000</c:v>
                </c:pt>
                <c:pt idx="30">
                  <c:v>2000000</c:v>
                </c:pt>
                <c:pt idx="31">
                  <c:v>3000000</c:v>
                </c:pt>
                <c:pt idx="32">
                  <c:v>4000000</c:v>
                </c:pt>
                <c:pt idx="33">
                  <c:v>5000000</c:v>
                </c:pt>
                <c:pt idx="34">
                  <c:v>6000000</c:v>
                </c:pt>
                <c:pt idx="35">
                  <c:v>7000000</c:v>
                </c:pt>
                <c:pt idx="36">
                  <c:v>8000000</c:v>
                </c:pt>
                <c:pt idx="37">
                  <c:v>9000000</c:v>
                </c:pt>
                <c:pt idx="38">
                  <c:v>10000000</c:v>
                </c:pt>
                <c:pt idx="39">
                  <c:v>20000000</c:v>
                </c:pt>
                <c:pt idx="40">
                  <c:v>30000000</c:v>
                </c:pt>
                <c:pt idx="41">
                  <c:v>40000000</c:v>
                </c:pt>
                <c:pt idx="42">
                  <c:v>50000000</c:v>
                </c:pt>
                <c:pt idx="43">
                  <c:v>60000000</c:v>
                </c:pt>
                <c:pt idx="44">
                  <c:v>70000000</c:v>
                </c:pt>
                <c:pt idx="45">
                  <c:v>80000000</c:v>
                </c:pt>
                <c:pt idx="46">
                  <c:v>90000000</c:v>
                </c:pt>
                <c:pt idx="47">
                  <c:v>100000000</c:v>
                </c:pt>
              </c:numCache>
            </c:numRef>
          </c:xVal>
          <c:yVal>
            <c:numRef>
              <c:f>'Moody-Diagramm'!$D$4:$D$51</c:f>
              <c:numCache>
                <c:formatCode>0.00000</c:formatCode>
                <c:ptCount val="48"/>
                <c:pt idx="0">
                  <c:v>9.059633008823488E-2</c:v>
                </c:pt>
                <c:pt idx="1">
                  <c:v>8.6682648848696073E-2</c:v>
                </c:pt>
                <c:pt idx="2">
                  <c:v>8.180195229655933E-2</c:v>
                </c:pt>
                <c:pt idx="3">
                  <c:v>7.8566368024392458E-2</c:v>
                </c:pt>
                <c:pt idx="4">
                  <c:v>7.6873327205607994E-2</c:v>
                </c:pt>
                <c:pt idx="5">
                  <c:v>7.5830041214335273E-2</c:v>
                </c:pt>
                <c:pt idx="6">
                  <c:v>7.5122135401292284E-2</c:v>
                </c:pt>
                <c:pt idx="7">
                  <c:v>7.4610092858335114E-2</c:v>
                </c:pt>
                <c:pt idx="8">
                  <c:v>7.4222426558667537E-2</c:v>
                </c:pt>
                <c:pt idx="9">
                  <c:v>7.3918691064072006E-2</c:v>
                </c:pt>
                <c:pt idx="10">
                  <c:v>7.3674273546550526E-2</c:v>
                </c:pt>
                <c:pt idx="11">
                  <c:v>7.31624707893547E-2</c:v>
                </c:pt>
                <c:pt idx="12">
                  <c:v>7.2558013786481731E-2</c:v>
                </c:pt>
                <c:pt idx="13">
                  <c:v>7.2179705278280257E-2</c:v>
                </c:pt>
                <c:pt idx="14">
                  <c:v>7.1989333507354189E-2</c:v>
                </c:pt>
                <c:pt idx="15">
                  <c:v>7.1874713946332172E-2</c:v>
                </c:pt>
                <c:pt idx="16">
                  <c:v>7.1798134063509822E-2</c:v>
                </c:pt>
                <c:pt idx="17">
                  <c:v>7.1743351906782576E-2</c:v>
                </c:pt>
                <c:pt idx="18">
                  <c:v>7.1702220112405984E-2</c:v>
                </c:pt>
                <c:pt idx="19">
                  <c:v>7.1670201856251087E-2</c:v>
                </c:pt>
                <c:pt idx="20">
                  <c:v>7.1644570285691433E-2</c:v>
                </c:pt>
                <c:pt idx="21">
                  <c:v>7.1529040752983511E-2</c:v>
                </c:pt>
                <c:pt idx="22">
                  <c:v>7.1490462419447162E-2</c:v>
                </c:pt>
                <c:pt idx="23">
                  <c:v>7.1471160352681459E-2</c:v>
                </c:pt>
                <c:pt idx="24">
                  <c:v>7.1459574977121826E-2</c:v>
                </c:pt>
                <c:pt idx="25">
                  <c:v>7.1451849668549672E-2</c:v>
                </c:pt>
                <c:pt idx="26">
                  <c:v>7.1446330745617084E-2</c:v>
                </c:pt>
                <c:pt idx="27">
                  <c:v>7.1442191090889576E-2</c:v>
                </c:pt>
                <c:pt idx="28">
                  <c:v>7.1438971085251768E-2</c:v>
                </c:pt>
                <c:pt idx="29">
                  <c:v>7.1436394907961262E-2</c:v>
                </c:pt>
                <c:pt idx="30">
                  <c:v>7.1424800208705883E-2</c:v>
                </c:pt>
                <c:pt idx="31">
                  <c:v>7.1420934617191914E-2</c:v>
                </c:pt>
                <c:pt idx="32">
                  <c:v>7.1419001691670411E-2</c:v>
                </c:pt>
                <c:pt idx="33">
                  <c:v>7.1417841894825362E-2</c:v>
                </c:pt>
                <c:pt idx="34">
                  <c:v>7.1417068679621776E-2</c:v>
                </c:pt>
                <c:pt idx="35">
                  <c:v>7.1416516374570457E-2</c:v>
                </c:pt>
                <c:pt idx="36">
                  <c:v>7.1416102141145674E-2</c:v>
                </c:pt>
                <c:pt idx="37">
                  <c:v>7.141577995684556E-2</c:v>
                </c:pt>
                <c:pt idx="38">
                  <c:v>7.1415522207674484E-2</c:v>
                </c:pt>
                <c:pt idx="39">
                  <c:v>7.141436231736302E-2</c:v>
                </c:pt>
                <c:pt idx="40">
                  <c:v>7.1413975680334654E-2</c:v>
                </c:pt>
                <c:pt idx="41">
                  <c:v>7.1413782360522038E-2</c:v>
                </c:pt>
                <c:pt idx="42">
                  <c:v>7.1413666368219011E-2</c:v>
                </c:pt>
                <c:pt idx="43">
                  <c:v>7.1413589039843822E-2</c:v>
                </c:pt>
                <c:pt idx="44">
                  <c:v>7.1413533805205348E-2</c:v>
                </c:pt>
                <c:pt idx="45">
                  <c:v>7.1413492379180085E-2</c:v>
                </c:pt>
                <c:pt idx="46">
                  <c:v>7.1413460158910758E-2</c:v>
                </c:pt>
                <c:pt idx="47">
                  <c:v>7.1413434382677971E-2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0186-476F-8CFA-8E0E60416979}"/>
            </c:ext>
          </c:extLst>
        </c:ser>
        <c:ser>
          <c:idx val="23"/>
          <c:order val="23"/>
          <c:tx>
            <c:strRef>
              <c:f>'Moody-Diagramm'!$E$3</c:f>
              <c:strCache>
                <c:ptCount val="1"/>
                <c:pt idx="0">
                  <c:v>4,0E-02</c:v>
                </c:pt>
              </c:strCache>
            </c:strRef>
          </c:tx>
          <c:spPr>
            <a:ln w="15875">
              <a:solidFill>
                <a:schemeClr val="tx2">
                  <a:lumMod val="75000"/>
                  <a:lumOff val="2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'Moody-Diagramm'!$C$4:$C$51</c:f>
              <c:numCache>
                <c:formatCode>0.0E+00</c:formatCode>
                <c:ptCount val="48"/>
                <c:pt idx="0">
                  <c:v>1000</c:v>
                </c:pt>
                <c:pt idx="1">
                  <c:v>1300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13000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60000</c:v>
                </c:pt>
                <c:pt idx="17">
                  <c:v>70000</c:v>
                </c:pt>
                <c:pt idx="18">
                  <c:v>80000</c:v>
                </c:pt>
                <c:pt idx="19">
                  <c:v>90000</c:v>
                </c:pt>
                <c:pt idx="20">
                  <c:v>100000</c:v>
                </c:pt>
                <c:pt idx="21">
                  <c:v>200000</c:v>
                </c:pt>
                <c:pt idx="22">
                  <c:v>300000</c:v>
                </c:pt>
                <c:pt idx="23">
                  <c:v>400000</c:v>
                </c:pt>
                <c:pt idx="24">
                  <c:v>500000</c:v>
                </c:pt>
                <c:pt idx="25">
                  <c:v>600000</c:v>
                </c:pt>
                <c:pt idx="26">
                  <c:v>700000</c:v>
                </c:pt>
                <c:pt idx="27">
                  <c:v>800000</c:v>
                </c:pt>
                <c:pt idx="28">
                  <c:v>900000</c:v>
                </c:pt>
                <c:pt idx="29">
                  <c:v>1000000</c:v>
                </c:pt>
                <c:pt idx="30">
                  <c:v>2000000</c:v>
                </c:pt>
                <c:pt idx="31">
                  <c:v>3000000</c:v>
                </c:pt>
                <c:pt idx="32">
                  <c:v>4000000</c:v>
                </c:pt>
                <c:pt idx="33">
                  <c:v>5000000</c:v>
                </c:pt>
                <c:pt idx="34">
                  <c:v>6000000</c:v>
                </c:pt>
                <c:pt idx="35">
                  <c:v>7000000</c:v>
                </c:pt>
                <c:pt idx="36">
                  <c:v>8000000</c:v>
                </c:pt>
                <c:pt idx="37">
                  <c:v>9000000</c:v>
                </c:pt>
                <c:pt idx="38">
                  <c:v>10000000</c:v>
                </c:pt>
                <c:pt idx="39">
                  <c:v>20000000</c:v>
                </c:pt>
                <c:pt idx="40">
                  <c:v>30000000</c:v>
                </c:pt>
                <c:pt idx="41">
                  <c:v>40000000</c:v>
                </c:pt>
                <c:pt idx="42">
                  <c:v>50000000</c:v>
                </c:pt>
                <c:pt idx="43">
                  <c:v>60000000</c:v>
                </c:pt>
                <c:pt idx="44">
                  <c:v>70000000</c:v>
                </c:pt>
                <c:pt idx="45">
                  <c:v>80000000</c:v>
                </c:pt>
                <c:pt idx="46">
                  <c:v>90000000</c:v>
                </c:pt>
                <c:pt idx="47">
                  <c:v>100000000</c:v>
                </c:pt>
              </c:numCache>
            </c:numRef>
          </c:xVal>
          <c:yVal>
            <c:numRef>
              <c:f>'Moody-Diagramm'!$E$4:$E$51</c:f>
              <c:numCache>
                <c:formatCode>0.00000</c:formatCode>
                <c:ptCount val="48"/>
                <c:pt idx="0">
                  <c:v>8.5244778332884033E-2</c:v>
                </c:pt>
                <c:pt idx="1">
                  <c:v>8.1129964870013976E-2</c:v>
                </c:pt>
                <c:pt idx="2">
                  <c:v>7.5941002880719324E-2</c:v>
                </c:pt>
                <c:pt idx="3">
                  <c:v>7.2454964717548143E-2</c:v>
                </c:pt>
                <c:pt idx="4">
                  <c:v>7.0612290779135958E-2</c:v>
                </c:pt>
                <c:pt idx="5">
                  <c:v>6.9469359669290742E-2</c:v>
                </c:pt>
                <c:pt idx="6">
                  <c:v>6.8690285532857068E-2</c:v>
                </c:pt>
                <c:pt idx="7">
                  <c:v>6.8124852766811961E-2</c:v>
                </c:pt>
                <c:pt idx="8">
                  <c:v>6.7695644808234923E-2</c:v>
                </c:pt>
                <c:pt idx="9">
                  <c:v>6.7358662273103428E-2</c:v>
                </c:pt>
                <c:pt idx="10">
                  <c:v>6.70870316449272E-2</c:v>
                </c:pt>
                <c:pt idx="11">
                  <c:v>6.6516875057926667E-2</c:v>
                </c:pt>
                <c:pt idx="12">
                  <c:v>6.5841006278412648E-2</c:v>
                </c:pt>
                <c:pt idx="13">
                  <c:v>6.5416562278433871E-2</c:v>
                </c:pt>
                <c:pt idx="14">
                  <c:v>6.520253831990383E-2</c:v>
                </c:pt>
                <c:pt idx="15">
                  <c:v>6.5073534214854428E-2</c:v>
                </c:pt>
                <c:pt idx="16">
                  <c:v>6.4987282629269172E-2</c:v>
                </c:pt>
                <c:pt idx="17">
                  <c:v>6.4925551466025147E-2</c:v>
                </c:pt>
                <c:pt idx="18">
                  <c:v>6.4879185500932315E-2</c:v>
                </c:pt>
                <c:pt idx="19">
                  <c:v>6.4843082856804735E-2</c:v>
                </c:pt>
                <c:pt idx="20">
                  <c:v>6.4814175314512057E-2</c:v>
                </c:pt>
                <c:pt idx="21">
                  <c:v>6.4683810044234735E-2</c:v>
                </c:pt>
                <c:pt idx="22">
                  <c:v>6.4640252031074763E-2</c:v>
                </c:pt>
                <c:pt idx="23">
                  <c:v>6.4618453613160987E-2</c:v>
                </c:pt>
                <c:pt idx="24">
                  <c:v>6.460536833617693E-2</c:v>
                </c:pt>
                <c:pt idx="25">
                  <c:v>6.4596642220530021E-2</c:v>
                </c:pt>
                <c:pt idx="26">
                  <c:v>6.4590408007389993E-2</c:v>
                </c:pt>
                <c:pt idx="27">
                  <c:v>6.4585731650738373E-2</c:v>
                </c:pt>
                <c:pt idx="28">
                  <c:v>6.4582094071357107E-2</c:v>
                </c:pt>
                <c:pt idx="29">
                  <c:v>6.4579183747513591E-2</c:v>
                </c:pt>
                <c:pt idx="30">
                  <c:v>6.4566084424805062E-2</c:v>
                </c:pt>
                <c:pt idx="31">
                  <c:v>6.4561716941296685E-2</c:v>
                </c:pt>
                <c:pt idx="32">
                  <c:v>6.4559533003938643E-2</c:v>
                </c:pt>
                <c:pt idx="33">
                  <c:v>6.455822257891583E-2</c:v>
                </c:pt>
                <c:pt idx="34">
                  <c:v>6.455734893614383E-2</c:v>
                </c:pt>
                <c:pt idx="35">
                  <c:v>6.4556724892812528E-2</c:v>
                </c:pt>
                <c:pt idx="36">
                  <c:v>6.4556256853324653E-2</c:v>
                </c:pt>
                <c:pt idx="37">
                  <c:v>6.4555892818469754E-2</c:v>
                </c:pt>
                <c:pt idx="38">
                  <c:v>6.4555601587976283E-2</c:v>
                </c:pt>
                <c:pt idx="39">
                  <c:v>6.4554291022048488E-2</c:v>
                </c:pt>
                <c:pt idx="40">
                  <c:v>6.455385415629962E-2</c:v>
                </c:pt>
                <c:pt idx="41">
                  <c:v>6.4553635721467648E-2</c:v>
                </c:pt>
                <c:pt idx="42">
                  <c:v>6.4553504659942043E-2</c:v>
                </c:pt>
                <c:pt idx="43">
                  <c:v>6.4553417285330594E-2</c:v>
                </c:pt>
                <c:pt idx="44">
                  <c:v>6.4553354874766058E-2</c:v>
                </c:pt>
                <c:pt idx="45">
                  <c:v>6.4553308066772688E-2</c:v>
                </c:pt>
                <c:pt idx="46">
                  <c:v>6.4553271660514236E-2</c:v>
                </c:pt>
                <c:pt idx="47">
                  <c:v>6.455324253548135E-2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0186-476F-8CFA-8E0E60416979}"/>
            </c:ext>
          </c:extLst>
        </c:ser>
        <c:ser>
          <c:idx val="24"/>
          <c:order val="24"/>
          <c:tx>
            <c:strRef>
              <c:f>'Moody-Diagramm'!$F$3</c:f>
              <c:strCache>
                <c:ptCount val="1"/>
                <c:pt idx="0">
                  <c:v>3,0E-02</c:v>
                </c:pt>
              </c:strCache>
            </c:strRef>
          </c:tx>
          <c:spPr>
            <a:ln w="15875">
              <a:solidFill>
                <a:schemeClr val="tx2">
                  <a:lumMod val="75000"/>
                  <a:lumOff val="2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'Moody-Diagramm'!$C$4:$C$51</c:f>
              <c:numCache>
                <c:formatCode>0.0E+00</c:formatCode>
                <c:ptCount val="48"/>
                <c:pt idx="0">
                  <c:v>1000</c:v>
                </c:pt>
                <c:pt idx="1">
                  <c:v>1300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13000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60000</c:v>
                </c:pt>
                <c:pt idx="17">
                  <c:v>70000</c:v>
                </c:pt>
                <c:pt idx="18">
                  <c:v>80000</c:v>
                </c:pt>
                <c:pt idx="19">
                  <c:v>90000</c:v>
                </c:pt>
                <c:pt idx="20">
                  <c:v>100000</c:v>
                </c:pt>
                <c:pt idx="21">
                  <c:v>200000</c:v>
                </c:pt>
                <c:pt idx="22">
                  <c:v>300000</c:v>
                </c:pt>
                <c:pt idx="23">
                  <c:v>400000</c:v>
                </c:pt>
                <c:pt idx="24">
                  <c:v>500000</c:v>
                </c:pt>
                <c:pt idx="25">
                  <c:v>600000</c:v>
                </c:pt>
                <c:pt idx="26">
                  <c:v>700000</c:v>
                </c:pt>
                <c:pt idx="27">
                  <c:v>800000</c:v>
                </c:pt>
                <c:pt idx="28">
                  <c:v>900000</c:v>
                </c:pt>
                <c:pt idx="29">
                  <c:v>1000000</c:v>
                </c:pt>
                <c:pt idx="30">
                  <c:v>2000000</c:v>
                </c:pt>
                <c:pt idx="31">
                  <c:v>3000000</c:v>
                </c:pt>
                <c:pt idx="32">
                  <c:v>4000000</c:v>
                </c:pt>
                <c:pt idx="33">
                  <c:v>5000000</c:v>
                </c:pt>
                <c:pt idx="34">
                  <c:v>6000000</c:v>
                </c:pt>
                <c:pt idx="35">
                  <c:v>7000000</c:v>
                </c:pt>
                <c:pt idx="36">
                  <c:v>8000000</c:v>
                </c:pt>
                <c:pt idx="37">
                  <c:v>9000000</c:v>
                </c:pt>
                <c:pt idx="38">
                  <c:v>10000000</c:v>
                </c:pt>
                <c:pt idx="39">
                  <c:v>20000000</c:v>
                </c:pt>
                <c:pt idx="40">
                  <c:v>30000000</c:v>
                </c:pt>
                <c:pt idx="41">
                  <c:v>40000000</c:v>
                </c:pt>
                <c:pt idx="42">
                  <c:v>50000000</c:v>
                </c:pt>
                <c:pt idx="43">
                  <c:v>60000000</c:v>
                </c:pt>
                <c:pt idx="44">
                  <c:v>70000000</c:v>
                </c:pt>
                <c:pt idx="45">
                  <c:v>80000000</c:v>
                </c:pt>
                <c:pt idx="46">
                  <c:v>90000000</c:v>
                </c:pt>
                <c:pt idx="47">
                  <c:v>100000000</c:v>
                </c:pt>
              </c:numCache>
            </c:numRef>
          </c:xVal>
          <c:yVal>
            <c:numRef>
              <c:f>'Moody-Diagramm'!$F$4:$F$51</c:f>
              <c:numCache>
                <c:formatCode>0.00000</c:formatCode>
                <c:ptCount val="48"/>
                <c:pt idx="0">
                  <c:v>7.9800065557390748E-2</c:v>
                </c:pt>
                <c:pt idx="1">
                  <c:v>7.5442767343306447E-2</c:v>
                </c:pt>
                <c:pt idx="2">
                  <c:v>6.9868161863716582E-2</c:v>
                </c:pt>
                <c:pt idx="3">
                  <c:v>6.6054546641194839E-2</c:v>
                </c:pt>
                <c:pt idx="4">
                  <c:v>6.4009243869889404E-2</c:v>
                </c:pt>
                <c:pt idx="5">
                  <c:v>6.2728231471477047E-2</c:v>
                </c:pt>
                <c:pt idx="6">
                  <c:v>6.1848903130411192E-2</c:v>
                </c:pt>
                <c:pt idx="7">
                  <c:v>6.1207327166453038E-2</c:v>
                </c:pt>
                <c:pt idx="8">
                  <c:v>6.0718302842094854E-2</c:v>
                </c:pt>
                <c:pt idx="9">
                  <c:v>6.0333078261969521E-2</c:v>
                </c:pt>
                <c:pt idx="10">
                  <c:v>6.0021711696784795E-2</c:v>
                </c:pt>
                <c:pt idx="11">
                  <c:v>5.9365573890082478E-2</c:v>
                </c:pt>
                <c:pt idx="12">
                  <c:v>5.8583000802070968E-2</c:v>
                </c:pt>
                <c:pt idx="13">
                  <c:v>5.8088721487174304E-2</c:v>
                </c:pt>
                <c:pt idx="14">
                  <c:v>5.7838613567469055E-2</c:v>
                </c:pt>
                <c:pt idx="15">
                  <c:v>5.7687569310034562E-2</c:v>
                </c:pt>
                <c:pt idx="16">
                  <c:v>5.7586457849045002E-2</c:v>
                </c:pt>
                <c:pt idx="17">
                  <c:v>5.7514029658777652E-2</c:v>
                </c:pt>
                <c:pt idx="18">
                  <c:v>5.7459595114762674E-2</c:v>
                </c:pt>
                <c:pt idx="19">
                  <c:v>5.7417189535973377E-2</c:v>
                </c:pt>
                <c:pt idx="20">
                  <c:v>5.7383222289089174E-2</c:v>
                </c:pt>
                <c:pt idx="21">
                  <c:v>5.7229895240335782E-2</c:v>
                </c:pt>
                <c:pt idx="22">
                  <c:v>5.717861224483501E-2</c:v>
                </c:pt>
                <c:pt idx="23">
                  <c:v>5.7152937859611445E-2</c:v>
                </c:pt>
                <c:pt idx="24">
                  <c:v>5.7137522670025177E-2</c:v>
                </c:pt>
                <c:pt idx="25">
                  <c:v>5.7127241469599861E-2</c:v>
                </c:pt>
                <c:pt idx="26">
                  <c:v>5.7119895593770127E-2</c:v>
                </c:pt>
                <c:pt idx="27">
                  <c:v>5.7114385003999679E-2</c:v>
                </c:pt>
                <c:pt idx="28">
                  <c:v>5.7110098288330802E-2</c:v>
                </c:pt>
                <c:pt idx="29">
                  <c:v>5.7106668473704485E-2</c:v>
                </c:pt>
                <c:pt idx="30">
                  <c:v>5.709122944088614E-2</c:v>
                </c:pt>
                <c:pt idx="31">
                  <c:v>5.7086081325286253E-2</c:v>
                </c:pt>
                <c:pt idx="32">
                  <c:v>5.7083506935089311E-2</c:v>
                </c:pt>
                <c:pt idx="33">
                  <c:v>5.7081962194569111E-2</c:v>
                </c:pt>
                <c:pt idx="34">
                  <c:v>5.7080932323213367E-2</c:v>
                </c:pt>
                <c:pt idx="35">
                  <c:v>5.7080196679095176E-2</c:v>
                </c:pt>
                <c:pt idx="36">
                  <c:v>5.7079644934126775E-2</c:v>
                </c:pt>
                <c:pt idx="37">
                  <c:v>5.7079215792111039E-2</c:v>
                </c:pt>
                <c:pt idx="38">
                  <c:v>5.7078872474062854E-2</c:v>
                </c:pt>
                <c:pt idx="39">
                  <c:v>5.7077327494050548E-2</c:v>
                </c:pt>
                <c:pt idx="40">
                  <c:v>5.707681248296774E-2</c:v>
                </c:pt>
                <c:pt idx="41">
                  <c:v>5.7076554974098824E-2</c:v>
                </c:pt>
                <c:pt idx="42">
                  <c:v>5.7076400467712625E-2</c:v>
                </c:pt>
                <c:pt idx="43">
                  <c:v>5.7076297463011468E-2</c:v>
                </c:pt>
                <c:pt idx="44">
                  <c:v>5.7076223888007614E-2</c:v>
                </c:pt>
                <c:pt idx="45">
                  <c:v>5.7076168706635864E-2</c:v>
                </c:pt>
                <c:pt idx="46">
                  <c:v>5.7076125787720734E-2</c:v>
                </c:pt>
                <c:pt idx="47">
                  <c:v>5.7076091452544282E-2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0186-476F-8CFA-8E0E60416979}"/>
            </c:ext>
          </c:extLst>
        </c:ser>
        <c:ser>
          <c:idx val="25"/>
          <c:order val="25"/>
          <c:tx>
            <c:strRef>
              <c:f>'Moody-Diagramm'!$G$3</c:f>
              <c:strCache>
                <c:ptCount val="1"/>
                <c:pt idx="0">
                  <c:v>2,0E-02</c:v>
                </c:pt>
              </c:strCache>
            </c:strRef>
          </c:tx>
          <c:spPr>
            <a:ln w="15875">
              <a:solidFill>
                <a:schemeClr val="tx2">
                  <a:lumMod val="75000"/>
                  <a:lumOff val="2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'Moody-Diagramm'!$C$4:$C$51</c:f>
              <c:numCache>
                <c:formatCode>0.0E+00</c:formatCode>
                <c:ptCount val="48"/>
                <c:pt idx="0">
                  <c:v>1000</c:v>
                </c:pt>
                <c:pt idx="1">
                  <c:v>1300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13000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60000</c:v>
                </c:pt>
                <c:pt idx="17">
                  <c:v>70000</c:v>
                </c:pt>
                <c:pt idx="18">
                  <c:v>80000</c:v>
                </c:pt>
                <c:pt idx="19">
                  <c:v>90000</c:v>
                </c:pt>
                <c:pt idx="20">
                  <c:v>100000</c:v>
                </c:pt>
                <c:pt idx="21">
                  <c:v>200000</c:v>
                </c:pt>
                <c:pt idx="22">
                  <c:v>300000</c:v>
                </c:pt>
                <c:pt idx="23">
                  <c:v>400000</c:v>
                </c:pt>
                <c:pt idx="24">
                  <c:v>500000</c:v>
                </c:pt>
                <c:pt idx="25">
                  <c:v>600000</c:v>
                </c:pt>
                <c:pt idx="26">
                  <c:v>700000</c:v>
                </c:pt>
                <c:pt idx="27">
                  <c:v>800000</c:v>
                </c:pt>
                <c:pt idx="28">
                  <c:v>900000</c:v>
                </c:pt>
                <c:pt idx="29">
                  <c:v>1000000</c:v>
                </c:pt>
                <c:pt idx="30">
                  <c:v>2000000</c:v>
                </c:pt>
                <c:pt idx="31">
                  <c:v>3000000</c:v>
                </c:pt>
                <c:pt idx="32">
                  <c:v>4000000</c:v>
                </c:pt>
                <c:pt idx="33">
                  <c:v>5000000</c:v>
                </c:pt>
                <c:pt idx="34">
                  <c:v>6000000</c:v>
                </c:pt>
                <c:pt idx="35">
                  <c:v>7000000</c:v>
                </c:pt>
                <c:pt idx="36">
                  <c:v>8000000</c:v>
                </c:pt>
                <c:pt idx="37">
                  <c:v>9000000</c:v>
                </c:pt>
                <c:pt idx="38">
                  <c:v>10000000</c:v>
                </c:pt>
                <c:pt idx="39">
                  <c:v>20000000</c:v>
                </c:pt>
                <c:pt idx="40">
                  <c:v>30000000</c:v>
                </c:pt>
                <c:pt idx="41">
                  <c:v>40000000</c:v>
                </c:pt>
                <c:pt idx="42">
                  <c:v>50000000</c:v>
                </c:pt>
                <c:pt idx="43">
                  <c:v>60000000</c:v>
                </c:pt>
                <c:pt idx="44">
                  <c:v>70000000</c:v>
                </c:pt>
                <c:pt idx="45">
                  <c:v>80000000</c:v>
                </c:pt>
                <c:pt idx="46">
                  <c:v>90000000</c:v>
                </c:pt>
                <c:pt idx="47">
                  <c:v>100000000</c:v>
                </c:pt>
              </c:numCache>
            </c:numRef>
          </c:xVal>
          <c:yVal>
            <c:numRef>
              <c:f>'Moody-Diagramm'!$G$4:$G$51</c:f>
              <c:numCache>
                <c:formatCode>0.00000</c:formatCode>
                <c:ptCount val="48"/>
                <c:pt idx="0">
                  <c:v>7.4239184883400089E-2</c:v>
                </c:pt>
                <c:pt idx="1">
                  <c:v>6.958447362122068E-2</c:v>
                </c:pt>
                <c:pt idx="2">
                  <c:v>6.3513802645119133E-2</c:v>
                </c:pt>
                <c:pt idx="3">
                  <c:v>5.9252508954020684E-2</c:v>
                </c:pt>
                <c:pt idx="4">
                  <c:v>5.6916026654664324E-2</c:v>
                </c:pt>
                <c:pt idx="5">
                  <c:v>5.5429514607459325E-2</c:v>
                </c:pt>
                <c:pt idx="6">
                  <c:v>5.4397067437357075E-2</c:v>
                </c:pt>
                <c:pt idx="7">
                  <c:v>5.3636853633661358E-2</c:v>
                </c:pt>
                <c:pt idx="8">
                  <c:v>5.305314066286379E-2</c:v>
                </c:pt>
                <c:pt idx="9">
                  <c:v>5.2590557412476348E-2</c:v>
                </c:pt>
                <c:pt idx="10">
                  <c:v>5.2214785808657585E-2</c:v>
                </c:pt>
                <c:pt idx="11">
                  <c:v>5.1417084323515223E-2</c:v>
                </c:pt>
                <c:pt idx="12">
                  <c:v>5.0454418402220542E-2</c:v>
                </c:pt>
                <c:pt idx="13">
                  <c:v>4.9839469243481552E-2</c:v>
                </c:pt>
                <c:pt idx="14">
                  <c:v>4.9526099006425052E-2</c:v>
                </c:pt>
                <c:pt idx="15">
                  <c:v>4.9336099094515314E-2</c:v>
                </c:pt>
                <c:pt idx="16">
                  <c:v>4.9208585902173065E-2</c:v>
                </c:pt>
                <c:pt idx="17">
                  <c:v>4.9117083033509389E-2</c:v>
                </c:pt>
                <c:pt idx="18">
                  <c:v>4.9048222200420231E-2</c:v>
                </c:pt>
                <c:pt idx="19">
                  <c:v>4.8994524004386253E-2</c:v>
                </c:pt>
                <c:pt idx="20">
                  <c:v>4.8951476755527357E-2</c:v>
                </c:pt>
                <c:pt idx="21">
                  <c:v>4.8756776026981009E-2</c:v>
                </c:pt>
                <c:pt idx="22">
                  <c:v>4.8691511668193667E-2</c:v>
                </c:pt>
                <c:pt idx="23">
                  <c:v>4.8658810332669368E-2</c:v>
                </c:pt>
                <c:pt idx="24">
                  <c:v>4.8639167286263142E-2</c:v>
                </c:pt>
                <c:pt idx="25">
                  <c:v>4.8626062626364118E-2</c:v>
                </c:pt>
                <c:pt idx="26">
                  <c:v>4.8616697593561443E-2</c:v>
                </c:pt>
                <c:pt idx="27">
                  <c:v>4.8609671321161466E-2</c:v>
                </c:pt>
                <c:pt idx="28">
                  <c:v>4.8604204961019172E-2</c:v>
                </c:pt>
                <c:pt idx="29">
                  <c:v>4.8599830938794511E-2</c:v>
                </c:pt>
                <c:pt idx="30">
                  <c:v>4.8580137550117822E-2</c:v>
                </c:pt>
                <c:pt idx="31">
                  <c:v>4.8573569340811723E-2</c:v>
                </c:pt>
                <c:pt idx="32">
                  <c:v>4.8570284532785744E-2</c:v>
                </c:pt>
                <c:pt idx="33">
                  <c:v>4.8568313422772798E-2</c:v>
                </c:pt>
                <c:pt idx="34">
                  <c:v>4.8566999255571272E-2</c:v>
                </c:pt>
                <c:pt idx="35">
                  <c:v>4.8566060518732433E-2</c:v>
                </c:pt>
                <c:pt idx="36">
                  <c:v>4.8565356440954305E-2</c:v>
                </c:pt>
                <c:pt idx="37">
                  <c:v>4.856480881000013E-2</c:v>
                </c:pt>
                <c:pt idx="38">
                  <c:v>4.856437069584623E-2</c:v>
                </c:pt>
                <c:pt idx="39">
                  <c:v>4.8562399078843958E-2</c:v>
                </c:pt>
                <c:pt idx="40">
                  <c:v>4.8561741835604258E-2</c:v>
                </c:pt>
                <c:pt idx="41">
                  <c:v>4.8561413206938665E-2</c:v>
                </c:pt>
                <c:pt idx="42">
                  <c:v>4.8561216027484574E-2</c:v>
                </c:pt>
                <c:pt idx="43">
                  <c:v>4.8561084573575664E-2</c:v>
                </c:pt>
                <c:pt idx="44">
                  <c:v>4.8560990677466276E-2</c:v>
                </c:pt>
                <c:pt idx="45">
                  <c:v>4.8560920255132568E-2</c:v>
                </c:pt>
                <c:pt idx="46">
                  <c:v>4.8560865482057215E-2</c:v>
                </c:pt>
                <c:pt idx="47">
                  <c:v>4.8560821663502993E-2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0186-476F-8CFA-8E0E60416979}"/>
            </c:ext>
          </c:extLst>
        </c:ser>
        <c:ser>
          <c:idx val="26"/>
          <c:order val="26"/>
          <c:tx>
            <c:strRef>
              <c:f>'Moody-Diagramm'!$H$3</c:f>
              <c:strCache>
                <c:ptCount val="1"/>
                <c:pt idx="0">
                  <c:v>1,5E-02</c:v>
                </c:pt>
              </c:strCache>
            </c:strRef>
          </c:tx>
          <c:spPr>
            <a:ln w="15875">
              <a:solidFill>
                <a:schemeClr val="tx2">
                  <a:lumMod val="75000"/>
                  <a:lumOff val="2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'Moody-Diagramm'!$C$4:$C$51</c:f>
              <c:numCache>
                <c:formatCode>0.0E+00</c:formatCode>
                <c:ptCount val="48"/>
                <c:pt idx="0">
                  <c:v>1000</c:v>
                </c:pt>
                <c:pt idx="1">
                  <c:v>1300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13000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60000</c:v>
                </c:pt>
                <c:pt idx="17">
                  <c:v>70000</c:v>
                </c:pt>
                <c:pt idx="18">
                  <c:v>80000</c:v>
                </c:pt>
                <c:pt idx="19">
                  <c:v>90000</c:v>
                </c:pt>
                <c:pt idx="20">
                  <c:v>100000</c:v>
                </c:pt>
                <c:pt idx="21">
                  <c:v>200000</c:v>
                </c:pt>
                <c:pt idx="22">
                  <c:v>300000</c:v>
                </c:pt>
                <c:pt idx="23">
                  <c:v>400000</c:v>
                </c:pt>
                <c:pt idx="24">
                  <c:v>500000</c:v>
                </c:pt>
                <c:pt idx="25">
                  <c:v>600000</c:v>
                </c:pt>
                <c:pt idx="26">
                  <c:v>700000</c:v>
                </c:pt>
                <c:pt idx="27">
                  <c:v>800000</c:v>
                </c:pt>
                <c:pt idx="28">
                  <c:v>900000</c:v>
                </c:pt>
                <c:pt idx="29">
                  <c:v>1000000</c:v>
                </c:pt>
                <c:pt idx="30">
                  <c:v>2000000</c:v>
                </c:pt>
                <c:pt idx="31">
                  <c:v>3000000</c:v>
                </c:pt>
                <c:pt idx="32">
                  <c:v>4000000</c:v>
                </c:pt>
                <c:pt idx="33">
                  <c:v>5000000</c:v>
                </c:pt>
                <c:pt idx="34">
                  <c:v>6000000</c:v>
                </c:pt>
                <c:pt idx="35">
                  <c:v>7000000</c:v>
                </c:pt>
                <c:pt idx="36">
                  <c:v>8000000</c:v>
                </c:pt>
                <c:pt idx="37">
                  <c:v>9000000</c:v>
                </c:pt>
                <c:pt idx="38">
                  <c:v>10000000</c:v>
                </c:pt>
                <c:pt idx="39">
                  <c:v>20000000</c:v>
                </c:pt>
                <c:pt idx="40">
                  <c:v>30000000</c:v>
                </c:pt>
                <c:pt idx="41">
                  <c:v>40000000</c:v>
                </c:pt>
                <c:pt idx="42">
                  <c:v>50000000</c:v>
                </c:pt>
                <c:pt idx="43">
                  <c:v>60000000</c:v>
                </c:pt>
                <c:pt idx="44">
                  <c:v>70000000</c:v>
                </c:pt>
                <c:pt idx="45">
                  <c:v>80000000</c:v>
                </c:pt>
                <c:pt idx="46">
                  <c:v>90000000</c:v>
                </c:pt>
                <c:pt idx="47">
                  <c:v>100000000</c:v>
                </c:pt>
              </c:numCache>
            </c:numRef>
          </c:xVal>
          <c:yVal>
            <c:numRef>
              <c:f>'Moody-Diagramm'!$H$4:$H$51</c:f>
              <c:numCache>
                <c:formatCode>0.00000</c:formatCode>
                <c:ptCount val="48"/>
                <c:pt idx="0">
                  <c:v>7.1406506356689575E-2</c:v>
                </c:pt>
                <c:pt idx="1">
                  <c:v>6.657662439402294E-2</c:v>
                </c:pt>
                <c:pt idx="2">
                  <c:v>6.0200761980585903E-2</c:v>
                </c:pt>
                <c:pt idx="3">
                  <c:v>5.5647524719664034E-2</c:v>
                </c:pt>
                <c:pt idx="4">
                  <c:v>5.3111214082107103E-2</c:v>
                </c:pt>
                <c:pt idx="5">
                  <c:v>5.1478298797038552E-2</c:v>
                </c:pt>
                <c:pt idx="6">
                  <c:v>5.033359445964098E-2</c:v>
                </c:pt>
                <c:pt idx="7">
                  <c:v>4.9484406908173288E-2</c:v>
                </c:pt>
                <c:pt idx="8">
                  <c:v>4.8828360903544824E-2</c:v>
                </c:pt>
                <c:pt idx="9">
                  <c:v>4.8305774269765435E-2</c:v>
                </c:pt>
                <c:pt idx="10">
                  <c:v>4.7879400479411804E-2</c:v>
                </c:pt>
                <c:pt idx="11">
                  <c:v>4.6968317544814987E-2</c:v>
                </c:pt>
                <c:pt idx="12">
                  <c:v>4.5856856368917981E-2</c:v>
                </c:pt>
                <c:pt idx="13">
                  <c:v>4.5139143785640497E-2</c:v>
                </c:pt>
                <c:pt idx="14">
                  <c:v>4.4770855994831861E-2</c:v>
                </c:pt>
                <c:pt idx="15">
                  <c:v>4.4546668538041803E-2</c:v>
                </c:pt>
                <c:pt idx="16">
                  <c:v>4.4395821083592732E-2</c:v>
                </c:pt>
                <c:pt idx="17">
                  <c:v>4.4287376043069135E-2</c:v>
                </c:pt>
                <c:pt idx="18">
                  <c:v>4.4205654647192894E-2</c:v>
                </c:pt>
                <c:pt idx="19">
                  <c:v>4.4141860929348922E-2</c:v>
                </c:pt>
                <c:pt idx="20">
                  <c:v>4.4090677943871129E-2</c:v>
                </c:pt>
                <c:pt idx="21">
                  <c:v>4.3858697666679165E-2</c:v>
                </c:pt>
                <c:pt idx="22">
                  <c:v>4.378075730004384E-2</c:v>
                </c:pt>
                <c:pt idx="23">
                  <c:v>4.3741670004164769E-2</c:v>
                </c:pt>
                <c:pt idx="24">
                  <c:v>4.3718179880580438E-2</c:v>
                </c:pt>
                <c:pt idx="25">
                  <c:v>4.3702504007543101E-2</c:v>
                </c:pt>
                <c:pt idx="26">
                  <c:v>4.3691299201190907E-2</c:v>
                </c:pt>
                <c:pt idx="27">
                  <c:v>4.3682891348178182E-2</c:v>
                </c:pt>
                <c:pt idx="28">
                  <c:v>4.3676349386085396E-2</c:v>
                </c:pt>
                <c:pt idx="29">
                  <c:v>4.3671114226622947E-2</c:v>
                </c:pt>
                <c:pt idx="30">
                  <c:v>4.3647538489599853E-2</c:v>
                </c:pt>
                <c:pt idx="31">
                  <c:v>4.3639673527871854E-2</c:v>
                </c:pt>
                <c:pt idx="32">
                  <c:v>4.3635739848070038E-2</c:v>
                </c:pt>
                <c:pt idx="33">
                  <c:v>4.3633379256249417E-2</c:v>
                </c:pt>
                <c:pt idx="34">
                  <c:v>4.3631805368329467E-2</c:v>
                </c:pt>
                <c:pt idx="35">
                  <c:v>4.3630681084265238E-2</c:v>
                </c:pt>
                <c:pt idx="36">
                  <c:v>4.3629837828330381E-2</c:v>
                </c:pt>
                <c:pt idx="37">
                  <c:v>4.3629181937185485E-2</c:v>
                </c:pt>
                <c:pt idx="38">
                  <c:v>4.3628657208254713E-2</c:v>
                </c:pt>
                <c:pt idx="39">
                  <c:v>4.3626295751870631E-2</c:v>
                </c:pt>
                <c:pt idx="40">
                  <c:v>4.3625508535659371E-2</c:v>
                </c:pt>
                <c:pt idx="41">
                  <c:v>4.3625114915535938E-2</c:v>
                </c:pt>
                <c:pt idx="42">
                  <c:v>4.3624878739615909E-2</c:v>
                </c:pt>
                <c:pt idx="43">
                  <c:v>4.3624721287399991E-2</c:v>
                </c:pt>
                <c:pt idx="44">
                  <c:v>4.3624608820746556E-2</c:v>
                </c:pt>
                <c:pt idx="45">
                  <c:v>4.3624524470327192E-2</c:v>
                </c:pt>
                <c:pt idx="46">
                  <c:v>4.3624458864191078E-2</c:v>
                </c:pt>
                <c:pt idx="47">
                  <c:v>4.3624406379121905E-2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0186-476F-8CFA-8E0E60416979}"/>
            </c:ext>
          </c:extLst>
        </c:ser>
        <c:ser>
          <c:idx val="27"/>
          <c:order val="27"/>
          <c:tx>
            <c:strRef>
              <c:f>'Moody-Diagramm'!$I$3</c:f>
              <c:strCache>
                <c:ptCount val="1"/>
                <c:pt idx="0">
                  <c:v>1,0E-02</c:v>
                </c:pt>
              </c:strCache>
            </c:strRef>
          </c:tx>
          <c:spPr>
            <a:ln w="15875">
              <a:solidFill>
                <a:schemeClr val="tx2">
                  <a:lumMod val="75000"/>
                  <a:lumOff val="2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'Moody-Diagramm'!$C$4:$C$51</c:f>
              <c:numCache>
                <c:formatCode>0.0E+00</c:formatCode>
                <c:ptCount val="48"/>
                <c:pt idx="0">
                  <c:v>1000</c:v>
                </c:pt>
                <c:pt idx="1">
                  <c:v>1300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13000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60000</c:v>
                </c:pt>
                <c:pt idx="17">
                  <c:v>70000</c:v>
                </c:pt>
                <c:pt idx="18">
                  <c:v>80000</c:v>
                </c:pt>
                <c:pt idx="19">
                  <c:v>90000</c:v>
                </c:pt>
                <c:pt idx="20">
                  <c:v>100000</c:v>
                </c:pt>
                <c:pt idx="21">
                  <c:v>200000</c:v>
                </c:pt>
                <c:pt idx="22">
                  <c:v>300000</c:v>
                </c:pt>
                <c:pt idx="23">
                  <c:v>400000</c:v>
                </c:pt>
                <c:pt idx="24">
                  <c:v>500000</c:v>
                </c:pt>
                <c:pt idx="25">
                  <c:v>600000</c:v>
                </c:pt>
                <c:pt idx="26">
                  <c:v>700000</c:v>
                </c:pt>
                <c:pt idx="27">
                  <c:v>800000</c:v>
                </c:pt>
                <c:pt idx="28">
                  <c:v>900000</c:v>
                </c:pt>
                <c:pt idx="29">
                  <c:v>1000000</c:v>
                </c:pt>
                <c:pt idx="30">
                  <c:v>2000000</c:v>
                </c:pt>
                <c:pt idx="31">
                  <c:v>3000000</c:v>
                </c:pt>
                <c:pt idx="32">
                  <c:v>4000000</c:v>
                </c:pt>
                <c:pt idx="33">
                  <c:v>5000000</c:v>
                </c:pt>
                <c:pt idx="34">
                  <c:v>6000000</c:v>
                </c:pt>
                <c:pt idx="35">
                  <c:v>7000000</c:v>
                </c:pt>
                <c:pt idx="36">
                  <c:v>8000000</c:v>
                </c:pt>
                <c:pt idx="37">
                  <c:v>9000000</c:v>
                </c:pt>
                <c:pt idx="38">
                  <c:v>10000000</c:v>
                </c:pt>
                <c:pt idx="39">
                  <c:v>20000000</c:v>
                </c:pt>
                <c:pt idx="40">
                  <c:v>30000000</c:v>
                </c:pt>
                <c:pt idx="41">
                  <c:v>40000000</c:v>
                </c:pt>
                <c:pt idx="42">
                  <c:v>50000000</c:v>
                </c:pt>
                <c:pt idx="43">
                  <c:v>60000000</c:v>
                </c:pt>
                <c:pt idx="44">
                  <c:v>70000000</c:v>
                </c:pt>
                <c:pt idx="45">
                  <c:v>80000000</c:v>
                </c:pt>
                <c:pt idx="46">
                  <c:v>90000000</c:v>
                </c:pt>
                <c:pt idx="47">
                  <c:v>100000000</c:v>
                </c:pt>
              </c:numCache>
            </c:numRef>
          </c:xVal>
          <c:yVal>
            <c:numRef>
              <c:f>'Moody-Diagramm'!$I$4:$I$51</c:f>
              <c:numCache>
                <c:formatCode>0.00000</c:formatCode>
                <c:ptCount val="48"/>
                <c:pt idx="0">
                  <c:v>6.8533559441720515E-2</c:v>
                </c:pt>
                <c:pt idx="1">
                  <c:v>6.3506692343602192E-2</c:v>
                </c:pt>
                <c:pt idx="2">
                  <c:v>5.6775141643104959E-2</c:v>
                </c:pt>
                <c:pt idx="3">
                  <c:v>5.1863941930125633E-2</c:v>
                </c:pt>
                <c:pt idx="4">
                  <c:v>4.9070660454026652E-2</c:v>
                </c:pt>
                <c:pt idx="5">
                  <c:v>4.7242340288568101E-2</c:v>
                </c:pt>
                <c:pt idx="6">
                  <c:v>4.5943252833045845E-2</c:v>
                </c:pt>
                <c:pt idx="7">
                  <c:v>4.4968650463160967E-2</c:v>
                </c:pt>
                <c:pt idx="8">
                  <c:v>4.4208518276856269E-2</c:v>
                </c:pt>
                <c:pt idx="9">
                  <c:v>4.3598057162580486E-2</c:v>
                </c:pt>
                <c:pt idx="10">
                  <c:v>4.3096446708988066E-2</c:v>
                </c:pt>
                <c:pt idx="11">
                  <c:v>4.2012805236449742E-2</c:v>
                </c:pt>
                <c:pt idx="12">
                  <c:v>4.0665806706560358E-2</c:v>
                </c:pt>
                <c:pt idx="13">
                  <c:v>3.9778770873470995E-2</c:v>
                </c:pt>
                <c:pt idx="14">
                  <c:v>3.931756553779174E-2</c:v>
                </c:pt>
                <c:pt idx="15">
                  <c:v>3.9034630656117029E-2</c:v>
                </c:pt>
                <c:pt idx="16">
                  <c:v>3.8843274067019457E-2</c:v>
                </c:pt>
                <c:pt idx="17">
                  <c:v>3.8705202659530806E-2</c:v>
                </c:pt>
                <c:pt idx="18">
                  <c:v>3.8600870068655646E-2</c:v>
                </c:pt>
                <c:pt idx="19">
                  <c:v>3.851925177547675E-2</c:v>
                </c:pt>
                <c:pt idx="20">
                  <c:v>3.8453656048414671E-2</c:v>
                </c:pt>
                <c:pt idx="21">
                  <c:v>3.8155072272721129E-2</c:v>
                </c:pt>
                <c:pt idx="22">
                  <c:v>3.8054271149181397E-2</c:v>
                </c:pt>
                <c:pt idx="23">
                  <c:v>3.8003625144932461E-2</c:v>
                </c:pt>
                <c:pt idx="24">
                  <c:v>3.7973158109113961E-2</c:v>
                </c:pt>
                <c:pt idx="25">
                  <c:v>3.7952813445100979E-2</c:v>
                </c:pt>
                <c:pt idx="26">
                  <c:v>3.7938265162115237E-2</c:v>
                </c:pt>
                <c:pt idx="27">
                  <c:v>3.7927344966360035E-2</c:v>
                </c:pt>
                <c:pt idx="28">
                  <c:v>3.7918846145906807E-2</c:v>
                </c:pt>
                <c:pt idx="29">
                  <c:v>3.7912043723069375E-2</c:v>
                </c:pt>
                <c:pt idx="30">
                  <c:v>3.7881395682559764E-2</c:v>
                </c:pt>
                <c:pt idx="31">
                  <c:v>3.7871166124081895E-2</c:v>
                </c:pt>
                <c:pt idx="32">
                  <c:v>3.7866048797836747E-2</c:v>
                </c:pt>
                <c:pt idx="33">
                  <c:v>3.7862977586106739E-2</c:v>
                </c:pt>
                <c:pt idx="34">
                  <c:v>3.7860929771409028E-2</c:v>
                </c:pt>
                <c:pt idx="35">
                  <c:v>3.7859466879922227E-2</c:v>
                </c:pt>
                <c:pt idx="36">
                  <c:v>3.7858369620115233E-2</c:v>
                </c:pt>
                <c:pt idx="37">
                  <c:v>3.7857516141769694E-2</c:v>
                </c:pt>
                <c:pt idx="38">
                  <c:v>3.7856833325035387E-2</c:v>
                </c:pt>
                <c:pt idx="39">
                  <c:v>3.7853760274986076E-2</c:v>
                </c:pt>
                <c:pt idx="40">
                  <c:v>3.7852735788657908E-2</c:v>
                </c:pt>
                <c:pt idx="41">
                  <c:v>3.785222351992798E-2</c:v>
                </c:pt>
                <c:pt idx="42">
                  <c:v>3.7851916150508001E-2</c:v>
                </c:pt>
                <c:pt idx="43">
                  <c:v>3.7851711234151972E-2</c:v>
                </c:pt>
                <c:pt idx="44">
                  <c:v>3.7851564863656255E-2</c:v>
                </c:pt>
                <c:pt idx="45">
                  <c:v>3.7851455084871179E-2</c:v>
                </c:pt>
                <c:pt idx="46">
                  <c:v>3.7851369700830431E-2</c:v>
                </c:pt>
                <c:pt idx="47">
                  <c:v>3.7851301393256882E-2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0186-476F-8CFA-8E0E60416979}"/>
            </c:ext>
          </c:extLst>
        </c:ser>
        <c:ser>
          <c:idx val="28"/>
          <c:order val="28"/>
          <c:tx>
            <c:strRef>
              <c:f>'Moody-Diagramm'!$J$3</c:f>
              <c:strCache>
                <c:ptCount val="1"/>
                <c:pt idx="0">
                  <c:v>8,0E-03</c:v>
                </c:pt>
              </c:strCache>
            </c:strRef>
          </c:tx>
          <c:spPr>
            <a:ln w="15875">
              <a:solidFill>
                <a:schemeClr val="tx2">
                  <a:lumMod val="75000"/>
                  <a:lumOff val="2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'Moody-Diagramm'!$C$4:$C$51</c:f>
              <c:numCache>
                <c:formatCode>0.0E+00</c:formatCode>
                <c:ptCount val="48"/>
                <c:pt idx="0">
                  <c:v>1000</c:v>
                </c:pt>
                <c:pt idx="1">
                  <c:v>1300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13000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60000</c:v>
                </c:pt>
                <c:pt idx="17">
                  <c:v>70000</c:v>
                </c:pt>
                <c:pt idx="18">
                  <c:v>80000</c:v>
                </c:pt>
                <c:pt idx="19">
                  <c:v>90000</c:v>
                </c:pt>
                <c:pt idx="20">
                  <c:v>100000</c:v>
                </c:pt>
                <c:pt idx="21">
                  <c:v>200000</c:v>
                </c:pt>
                <c:pt idx="22">
                  <c:v>300000</c:v>
                </c:pt>
                <c:pt idx="23">
                  <c:v>400000</c:v>
                </c:pt>
                <c:pt idx="24">
                  <c:v>500000</c:v>
                </c:pt>
                <c:pt idx="25">
                  <c:v>600000</c:v>
                </c:pt>
                <c:pt idx="26">
                  <c:v>700000</c:v>
                </c:pt>
                <c:pt idx="27">
                  <c:v>800000</c:v>
                </c:pt>
                <c:pt idx="28">
                  <c:v>900000</c:v>
                </c:pt>
                <c:pt idx="29">
                  <c:v>1000000</c:v>
                </c:pt>
                <c:pt idx="30">
                  <c:v>2000000</c:v>
                </c:pt>
                <c:pt idx="31">
                  <c:v>3000000</c:v>
                </c:pt>
                <c:pt idx="32">
                  <c:v>4000000</c:v>
                </c:pt>
                <c:pt idx="33">
                  <c:v>5000000</c:v>
                </c:pt>
                <c:pt idx="34">
                  <c:v>6000000</c:v>
                </c:pt>
                <c:pt idx="35">
                  <c:v>7000000</c:v>
                </c:pt>
                <c:pt idx="36">
                  <c:v>8000000</c:v>
                </c:pt>
                <c:pt idx="37">
                  <c:v>9000000</c:v>
                </c:pt>
                <c:pt idx="38">
                  <c:v>10000000</c:v>
                </c:pt>
                <c:pt idx="39">
                  <c:v>20000000</c:v>
                </c:pt>
                <c:pt idx="40">
                  <c:v>30000000</c:v>
                </c:pt>
                <c:pt idx="41">
                  <c:v>40000000</c:v>
                </c:pt>
                <c:pt idx="42">
                  <c:v>50000000</c:v>
                </c:pt>
                <c:pt idx="43">
                  <c:v>60000000</c:v>
                </c:pt>
                <c:pt idx="44">
                  <c:v>70000000</c:v>
                </c:pt>
                <c:pt idx="45">
                  <c:v>80000000</c:v>
                </c:pt>
                <c:pt idx="46">
                  <c:v>90000000</c:v>
                </c:pt>
                <c:pt idx="47">
                  <c:v>100000000</c:v>
                </c:pt>
              </c:numCache>
            </c:numRef>
          </c:xVal>
          <c:yVal>
            <c:numRef>
              <c:f>'Moody-Diagramm'!$J$4:$J$51</c:f>
              <c:numCache>
                <c:formatCode>0.00000</c:formatCode>
                <c:ptCount val="48"/>
                <c:pt idx="0">
                  <c:v>6.7372077214835457E-2</c:v>
                </c:pt>
                <c:pt idx="1">
                  <c:v>6.2259439753395762E-2</c:v>
                </c:pt>
                <c:pt idx="2">
                  <c:v>5.5368665598700934E-2</c:v>
                </c:pt>
                <c:pt idx="3">
                  <c:v>5.0290567965108189E-2</c:v>
                </c:pt>
                <c:pt idx="4">
                  <c:v>4.7372614434575099E-2</c:v>
                </c:pt>
                <c:pt idx="5">
                  <c:v>4.544637728393832E-2</c:v>
                </c:pt>
                <c:pt idx="6">
                  <c:v>4.4067823198082168E-2</c:v>
                </c:pt>
                <c:pt idx="7">
                  <c:v>4.3027183416716304E-2</c:v>
                </c:pt>
                <c:pt idx="8">
                  <c:v>4.2211168114607192E-2</c:v>
                </c:pt>
                <c:pt idx="9">
                  <c:v>4.1552725582844924E-2</c:v>
                </c:pt>
                <c:pt idx="10">
                  <c:v>4.1009423231928833E-2</c:v>
                </c:pt>
                <c:pt idx="11">
                  <c:v>3.9827902582182655E-2</c:v>
                </c:pt>
                <c:pt idx="12">
                  <c:v>3.8341774200191948E-2</c:v>
                </c:pt>
                <c:pt idx="13">
                  <c:v>3.7350347557236332E-2</c:v>
                </c:pt>
                <c:pt idx="14">
                  <c:v>3.683015446476489E-2</c:v>
                </c:pt>
                <c:pt idx="15">
                  <c:v>3.6509263345644846E-2</c:v>
                </c:pt>
                <c:pt idx="16">
                  <c:v>3.6291424701328748E-2</c:v>
                </c:pt>
                <c:pt idx="17">
                  <c:v>3.6133821708010626E-2</c:v>
                </c:pt>
                <c:pt idx="18">
                  <c:v>3.6014487501596457E-2</c:v>
                </c:pt>
                <c:pt idx="19">
                  <c:v>3.592098462937731E-2</c:v>
                </c:pt>
                <c:pt idx="20">
                  <c:v>3.5845740926716115E-2</c:v>
                </c:pt>
                <c:pt idx="21">
                  <c:v>3.5502119437989504E-2</c:v>
                </c:pt>
                <c:pt idx="22">
                  <c:v>3.5385684469447135E-2</c:v>
                </c:pt>
                <c:pt idx="23">
                  <c:v>3.5327098996846627E-2</c:v>
                </c:pt>
                <c:pt idx="24">
                  <c:v>3.529182824454237E-2</c:v>
                </c:pt>
                <c:pt idx="25">
                  <c:v>3.5268264226756198E-2</c:v>
                </c:pt>
                <c:pt idx="26">
                  <c:v>3.5251408077350652E-2</c:v>
                </c:pt>
                <c:pt idx="27">
                  <c:v>3.5238752403385039E-2</c:v>
                </c:pt>
                <c:pt idx="28">
                  <c:v>3.522890104281165E-2</c:v>
                </c:pt>
                <c:pt idx="29">
                  <c:v>3.5221014866743061E-2</c:v>
                </c:pt>
                <c:pt idx="30">
                  <c:v>3.5185470903755595E-2</c:v>
                </c:pt>
                <c:pt idx="31">
                  <c:v>3.5173602411910129E-2</c:v>
                </c:pt>
                <c:pt idx="32">
                  <c:v>3.5167664307189414E-2</c:v>
                </c:pt>
                <c:pt idx="33">
                  <c:v>3.5164100207707043E-2</c:v>
                </c:pt>
                <c:pt idx="34">
                  <c:v>3.5161723625689111E-2</c:v>
                </c:pt>
                <c:pt idx="35">
                  <c:v>3.5160025814384786E-2</c:v>
                </c:pt>
                <c:pt idx="36">
                  <c:v>3.5158752317648839E-2</c:v>
                </c:pt>
                <c:pt idx="37">
                  <c:v>3.5157761738234476E-2</c:v>
                </c:pt>
                <c:pt idx="38">
                  <c:v>3.5156969223061593E-2</c:v>
                </c:pt>
                <c:pt idx="39">
                  <c:v>3.5153402336516884E-2</c:v>
                </c:pt>
                <c:pt idx="40">
                  <c:v>3.5152213167613092E-2</c:v>
                </c:pt>
                <c:pt idx="41">
                  <c:v>3.5151618544386365E-2</c:v>
                </c:pt>
                <c:pt idx="42">
                  <c:v>3.5151261758040536E-2</c:v>
                </c:pt>
                <c:pt idx="43">
                  <c:v>3.5151023895305465E-2</c:v>
                </c:pt>
                <c:pt idx="44">
                  <c:v>3.5150853990818895E-2</c:v>
                </c:pt>
                <c:pt idx="45">
                  <c:v>3.5150726561068706E-2</c:v>
                </c:pt>
                <c:pt idx="46">
                  <c:v>3.5150627448219861E-2</c:v>
                </c:pt>
                <c:pt idx="47">
                  <c:v>3.5150548157423599E-2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0186-476F-8CFA-8E0E60416979}"/>
            </c:ext>
          </c:extLst>
        </c:ser>
        <c:ser>
          <c:idx val="29"/>
          <c:order val="29"/>
          <c:tx>
            <c:strRef>
              <c:f>'Moody-Diagramm'!$K$3</c:f>
              <c:strCache>
                <c:ptCount val="1"/>
                <c:pt idx="0">
                  <c:v>6,0E-03</c:v>
                </c:pt>
              </c:strCache>
            </c:strRef>
          </c:tx>
          <c:spPr>
            <a:ln w="15875">
              <a:solidFill>
                <a:schemeClr val="tx2">
                  <a:lumMod val="75000"/>
                  <a:lumOff val="2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'Moody-Diagramm'!$C$4:$C$51</c:f>
              <c:numCache>
                <c:formatCode>0.0E+00</c:formatCode>
                <c:ptCount val="48"/>
                <c:pt idx="0">
                  <c:v>1000</c:v>
                </c:pt>
                <c:pt idx="1">
                  <c:v>1300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13000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60000</c:v>
                </c:pt>
                <c:pt idx="17">
                  <c:v>70000</c:v>
                </c:pt>
                <c:pt idx="18">
                  <c:v>80000</c:v>
                </c:pt>
                <c:pt idx="19">
                  <c:v>90000</c:v>
                </c:pt>
                <c:pt idx="20">
                  <c:v>100000</c:v>
                </c:pt>
                <c:pt idx="21">
                  <c:v>200000</c:v>
                </c:pt>
                <c:pt idx="22">
                  <c:v>300000</c:v>
                </c:pt>
                <c:pt idx="23">
                  <c:v>400000</c:v>
                </c:pt>
                <c:pt idx="24">
                  <c:v>500000</c:v>
                </c:pt>
                <c:pt idx="25">
                  <c:v>600000</c:v>
                </c:pt>
                <c:pt idx="26">
                  <c:v>700000</c:v>
                </c:pt>
                <c:pt idx="27">
                  <c:v>800000</c:v>
                </c:pt>
                <c:pt idx="28">
                  <c:v>900000</c:v>
                </c:pt>
                <c:pt idx="29">
                  <c:v>1000000</c:v>
                </c:pt>
                <c:pt idx="30">
                  <c:v>2000000</c:v>
                </c:pt>
                <c:pt idx="31">
                  <c:v>3000000</c:v>
                </c:pt>
                <c:pt idx="32">
                  <c:v>4000000</c:v>
                </c:pt>
                <c:pt idx="33">
                  <c:v>5000000</c:v>
                </c:pt>
                <c:pt idx="34">
                  <c:v>6000000</c:v>
                </c:pt>
                <c:pt idx="35">
                  <c:v>7000000</c:v>
                </c:pt>
                <c:pt idx="36">
                  <c:v>8000000</c:v>
                </c:pt>
                <c:pt idx="37">
                  <c:v>9000000</c:v>
                </c:pt>
                <c:pt idx="38">
                  <c:v>10000000</c:v>
                </c:pt>
                <c:pt idx="39">
                  <c:v>20000000</c:v>
                </c:pt>
                <c:pt idx="40">
                  <c:v>30000000</c:v>
                </c:pt>
                <c:pt idx="41">
                  <c:v>40000000</c:v>
                </c:pt>
                <c:pt idx="42">
                  <c:v>50000000</c:v>
                </c:pt>
                <c:pt idx="43">
                  <c:v>60000000</c:v>
                </c:pt>
                <c:pt idx="44">
                  <c:v>70000000</c:v>
                </c:pt>
                <c:pt idx="45">
                  <c:v>80000000</c:v>
                </c:pt>
                <c:pt idx="46">
                  <c:v>90000000</c:v>
                </c:pt>
                <c:pt idx="47">
                  <c:v>100000000</c:v>
                </c:pt>
              </c:numCache>
            </c:numRef>
          </c:xVal>
          <c:yVal>
            <c:numRef>
              <c:f>'Moody-Diagramm'!$K$4:$K$51</c:f>
              <c:numCache>
                <c:formatCode>0.00000</c:formatCode>
                <c:ptCount val="48"/>
                <c:pt idx="0">
                  <c:v>6.6203090483240939E-2</c:v>
                </c:pt>
                <c:pt idx="1">
                  <c:v>6.1000269018582201E-2</c:v>
                </c:pt>
                <c:pt idx="2">
                  <c:v>5.3939115444511132E-2</c:v>
                </c:pt>
                <c:pt idx="3">
                  <c:v>4.8677584993633546E-2</c:v>
                </c:pt>
                <c:pt idx="4">
                  <c:v>4.5618809749114621E-2</c:v>
                </c:pt>
                <c:pt idx="5">
                  <c:v>4.3579370377839627E-2</c:v>
                </c:pt>
                <c:pt idx="6">
                  <c:v>4.2107083137049903E-2</c:v>
                </c:pt>
                <c:pt idx="7">
                  <c:v>4.0987174649699087E-2</c:v>
                </c:pt>
                <c:pt idx="8">
                  <c:v>4.010303669185384E-2</c:v>
                </c:pt>
                <c:pt idx="9">
                  <c:v>3.9385296912093706E-2</c:v>
                </c:pt>
                <c:pt idx="10">
                  <c:v>3.8789834781494913E-2</c:v>
                </c:pt>
                <c:pt idx="11">
                  <c:v>3.7483387181242264E-2</c:v>
                </c:pt>
                <c:pt idx="12">
                  <c:v>3.5813119271213487E-2</c:v>
                </c:pt>
                <c:pt idx="13">
                  <c:v>3.4677840875669427E-2</c:v>
                </c:pt>
                <c:pt idx="14">
                  <c:v>3.4073964873840026E-2</c:v>
                </c:pt>
                <c:pt idx="15">
                  <c:v>3.3698243693590292E-2</c:v>
                </c:pt>
                <c:pt idx="16">
                  <c:v>3.3441673038497988E-2</c:v>
                </c:pt>
                <c:pt idx="17">
                  <c:v>3.3255244441979477E-2</c:v>
                </c:pt>
                <c:pt idx="18">
                  <c:v>3.3113617330999913E-2</c:v>
                </c:pt>
                <c:pt idx="19">
                  <c:v>3.3002357649370991E-2</c:v>
                </c:pt>
                <c:pt idx="20">
                  <c:v>3.2912635625102063E-2</c:v>
                </c:pt>
                <c:pt idx="21">
                  <c:v>3.2500658941147939E-2</c:v>
                </c:pt>
                <c:pt idx="22">
                  <c:v>3.2360191739728816E-2</c:v>
                </c:pt>
                <c:pt idx="23">
                  <c:v>3.2289340135174448E-2</c:v>
                </c:pt>
                <c:pt idx="24">
                  <c:v>3.2246627466473651E-2</c:v>
                </c:pt>
                <c:pt idx="25">
                  <c:v>3.2218067371869115E-2</c:v>
                </c:pt>
                <c:pt idx="26">
                  <c:v>3.219762538043211E-2</c:v>
                </c:pt>
                <c:pt idx="27">
                  <c:v>3.2182270843732534E-2</c:v>
                </c:pt>
                <c:pt idx="28">
                  <c:v>3.2170314719819341E-2</c:v>
                </c:pt>
                <c:pt idx="29">
                  <c:v>3.2160741160538547E-2</c:v>
                </c:pt>
                <c:pt idx="30">
                  <c:v>3.2117564395844692E-2</c:v>
                </c:pt>
                <c:pt idx="31">
                  <c:v>3.2103137138739544E-2</c:v>
                </c:pt>
                <c:pt idx="32">
                  <c:v>3.2095916913624546E-2</c:v>
                </c:pt>
                <c:pt idx="33">
                  <c:v>3.2091582663319747E-2</c:v>
                </c:pt>
                <c:pt idx="34">
                  <c:v>3.2088692280761832E-2</c:v>
                </c:pt>
                <c:pt idx="35">
                  <c:v>3.2086627289300763E-2</c:v>
                </c:pt>
                <c:pt idx="36">
                  <c:v>3.2085078309064735E-2</c:v>
                </c:pt>
                <c:pt idx="37">
                  <c:v>3.2083873406374259E-2</c:v>
                </c:pt>
                <c:pt idx="38">
                  <c:v>3.2082909395816553E-2</c:v>
                </c:pt>
                <c:pt idx="39">
                  <c:v>3.2078570375347663E-2</c:v>
                </c:pt>
                <c:pt idx="40">
                  <c:v>3.2077123681199131E-2</c:v>
                </c:pt>
                <c:pt idx="41">
                  <c:v>3.2076400267717131E-2</c:v>
                </c:pt>
                <c:pt idx="42">
                  <c:v>3.2075966198373086E-2</c:v>
                </c:pt>
                <c:pt idx="43">
                  <c:v>3.2075676809953185E-2</c:v>
                </c:pt>
                <c:pt idx="44">
                  <c:v>3.2075470099600434E-2</c:v>
                </c:pt>
                <c:pt idx="45">
                  <c:v>3.2075315064463109E-2</c:v>
                </c:pt>
                <c:pt idx="46">
                  <c:v>3.2075194480172382E-2</c:v>
                </c:pt>
                <c:pt idx="47">
                  <c:v>3.2075098011853924E-2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0186-476F-8CFA-8E0E60416979}"/>
            </c:ext>
          </c:extLst>
        </c:ser>
        <c:ser>
          <c:idx val="30"/>
          <c:order val="30"/>
          <c:tx>
            <c:strRef>
              <c:f>'Moody-Diagramm'!$L$3</c:f>
              <c:strCache>
                <c:ptCount val="1"/>
                <c:pt idx="0">
                  <c:v>4,0E-03</c:v>
                </c:pt>
              </c:strCache>
            </c:strRef>
          </c:tx>
          <c:spPr>
            <a:ln w="15875">
              <a:solidFill>
                <a:schemeClr val="tx2">
                  <a:lumMod val="75000"/>
                  <a:lumOff val="2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'Moody-Diagramm'!$C$4:$C$51</c:f>
              <c:numCache>
                <c:formatCode>0.0E+00</c:formatCode>
                <c:ptCount val="48"/>
                <c:pt idx="0">
                  <c:v>1000</c:v>
                </c:pt>
                <c:pt idx="1">
                  <c:v>1300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13000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60000</c:v>
                </c:pt>
                <c:pt idx="17">
                  <c:v>70000</c:v>
                </c:pt>
                <c:pt idx="18">
                  <c:v>80000</c:v>
                </c:pt>
                <c:pt idx="19">
                  <c:v>90000</c:v>
                </c:pt>
                <c:pt idx="20">
                  <c:v>100000</c:v>
                </c:pt>
                <c:pt idx="21">
                  <c:v>200000</c:v>
                </c:pt>
                <c:pt idx="22">
                  <c:v>300000</c:v>
                </c:pt>
                <c:pt idx="23">
                  <c:v>400000</c:v>
                </c:pt>
                <c:pt idx="24">
                  <c:v>500000</c:v>
                </c:pt>
                <c:pt idx="25">
                  <c:v>600000</c:v>
                </c:pt>
                <c:pt idx="26">
                  <c:v>700000</c:v>
                </c:pt>
                <c:pt idx="27">
                  <c:v>800000</c:v>
                </c:pt>
                <c:pt idx="28">
                  <c:v>900000</c:v>
                </c:pt>
                <c:pt idx="29">
                  <c:v>1000000</c:v>
                </c:pt>
                <c:pt idx="30">
                  <c:v>2000000</c:v>
                </c:pt>
                <c:pt idx="31">
                  <c:v>3000000</c:v>
                </c:pt>
                <c:pt idx="32">
                  <c:v>4000000</c:v>
                </c:pt>
                <c:pt idx="33">
                  <c:v>5000000</c:v>
                </c:pt>
                <c:pt idx="34">
                  <c:v>6000000</c:v>
                </c:pt>
                <c:pt idx="35">
                  <c:v>7000000</c:v>
                </c:pt>
                <c:pt idx="36">
                  <c:v>8000000</c:v>
                </c:pt>
                <c:pt idx="37">
                  <c:v>9000000</c:v>
                </c:pt>
                <c:pt idx="38">
                  <c:v>10000000</c:v>
                </c:pt>
                <c:pt idx="39">
                  <c:v>20000000</c:v>
                </c:pt>
                <c:pt idx="40">
                  <c:v>30000000</c:v>
                </c:pt>
                <c:pt idx="41">
                  <c:v>40000000</c:v>
                </c:pt>
                <c:pt idx="42">
                  <c:v>50000000</c:v>
                </c:pt>
                <c:pt idx="43">
                  <c:v>60000000</c:v>
                </c:pt>
                <c:pt idx="44">
                  <c:v>70000000</c:v>
                </c:pt>
                <c:pt idx="45">
                  <c:v>80000000</c:v>
                </c:pt>
                <c:pt idx="46">
                  <c:v>90000000</c:v>
                </c:pt>
                <c:pt idx="47">
                  <c:v>100000000</c:v>
                </c:pt>
              </c:numCache>
            </c:numRef>
          </c:xVal>
          <c:yVal>
            <c:numRef>
              <c:f>'Moody-Diagramm'!$L$4:$L$51</c:f>
              <c:numCache>
                <c:formatCode>0.00000</c:formatCode>
                <c:ptCount val="48"/>
                <c:pt idx="0">
                  <c:v>6.5026265470668698E-2</c:v>
                </c:pt>
                <c:pt idx="1">
                  <c:v>5.9728529285737519E-2</c:v>
                </c:pt>
                <c:pt idx="2">
                  <c:v>5.2484688385615465E-2</c:v>
                </c:pt>
                <c:pt idx="3">
                  <c:v>4.7020668608983587E-2</c:v>
                </c:pt>
                <c:pt idx="4">
                  <c:v>4.3801602903061218E-2</c:v>
                </c:pt>
                <c:pt idx="5">
                  <c:v>4.1629795037018837E-2</c:v>
                </c:pt>
                <c:pt idx="6">
                  <c:v>4.0045253413007367E-2</c:v>
                </c:pt>
                <c:pt idx="7">
                  <c:v>3.8828359766468083E-2</c:v>
                </c:pt>
                <c:pt idx="8">
                  <c:v>3.7859250435954936E-2</c:v>
                </c:pt>
                <c:pt idx="9">
                  <c:v>3.7066242408618423E-2</c:v>
                </c:pt>
                <c:pt idx="10">
                  <c:v>3.6403508026749423E-2</c:v>
                </c:pt>
                <c:pt idx="11">
                  <c:v>3.4931564146315257E-2</c:v>
                </c:pt>
                <c:pt idx="12">
                  <c:v>3.3004658763530759E-2</c:v>
                </c:pt>
                <c:pt idx="13">
                  <c:v>3.165659809160299E-2</c:v>
                </c:pt>
                <c:pt idx="14">
                  <c:v>3.0923204112026183E-2</c:v>
                </c:pt>
                <c:pt idx="15">
                  <c:v>3.0460083303321339E-2</c:v>
                </c:pt>
                <c:pt idx="16">
                  <c:v>3.0140478004627665E-2</c:v>
                </c:pt>
                <c:pt idx="17">
                  <c:v>2.9906406834250464E-2</c:v>
                </c:pt>
                <c:pt idx="18">
                  <c:v>2.9727491517281074E-2</c:v>
                </c:pt>
                <c:pt idx="19">
                  <c:v>2.9586246843912572E-2</c:v>
                </c:pt>
                <c:pt idx="20">
                  <c:v>2.9471885427625053E-2</c:v>
                </c:pt>
                <c:pt idx="21">
                  <c:v>2.8941169898359296E-2</c:v>
                </c:pt>
                <c:pt idx="22">
                  <c:v>2.8757967745766368E-2</c:v>
                </c:pt>
                <c:pt idx="23">
                  <c:v>2.8665096770762382E-2</c:v>
                </c:pt>
                <c:pt idx="24">
                  <c:v>2.8608955259481188E-2</c:v>
                </c:pt>
                <c:pt idx="25">
                  <c:v>2.8571350002916274E-2</c:v>
                </c:pt>
                <c:pt idx="26">
                  <c:v>2.8544401149086754E-2</c:v>
                </c:pt>
                <c:pt idx="27">
                  <c:v>2.8524141027557185E-2</c:v>
                </c:pt>
                <c:pt idx="28">
                  <c:v>2.850835425694042E-2</c:v>
                </c:pt>
                <c:pt idx="29">
                  <c:v>2.8495706551794012E-2</c:v>
                </c:pt>
                <c:pt idx="30">
                  <c:v>2.843858909196835E-2</c:v>
                </c:pt>
                <c:pt idx="31">
                  <c:v>2.8419475583113175E-2</c:v>
                </c:pt>
                <c:pt idx="32">
                  <c:v>2.8409904774571101E-2</c:v>
                </c:pt>
                <c:pt idx="33">
                  <c:v>2.8404157777585391E-2</c:v>
                </c:pt>
                <c:pt idx="34">
                  <c:v>2.8400324562938378E-2</c:v>
                </c:pt>
                <c:pt idx="35">
                  <c:v>2.8397585628964835E-2</c:v>
                </c:pt>
                <c:pt idx="36">
                  <c:v>2.8395530923030123E-2</c:v>
                </c:pt>
                <c:pt idx="37">
                  <c:v>2.8393932518705745E-2</c:v>
                </c:pt>
                <c:pt idx="38">
                  <c:v>2.8392653606342411E-2</c:v>
                </c:pt>
                <c:pt idx="39">
                  <c:v>2.8386896421078948E-2</c:v>
                </c:pt>
                <c:pt idx="40">
                  <c:v>2.8384976602459276E-2</c:v>
                </c:pt>
                <c:pt idx="41">
                  <c:v>2.8384016551121976E-2</c:v>
                </c:pt>
                <c:pt idx="42">
                  <c:v>2.8383440474856046E-2</c:v>
                </c:pt>
                <c:pt idx="43">
                  <c:v>2.838305640506552E-2</c:v>
                </c:pt>
                <c:pt idx="44">
                  <c:v>2.8382782060219845E-2</c:v>
                </c:pt>
                <c:pt idx="45">
                  <c:v>2.8382576296509601E-2</c:v>
                </c:pt>
                <c:pt idx="46">
                  <c:v>2.8382416255060133E-2</c:v>
                </c:pt>
                <c:pt idx="47">
                  <c:v>2.8382288220005332E-2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0186-476F-8CFA-8E0E60416979}"/>
            </c:ext>
          </c:extLst>
        </c:ser>
        <c:ser>
          <c:idx val="31"/>
          <c:order val="31"/>
          <c:tx>
            <c:strRef>
              <c:f>'Moody-Diagramm'!$M$3</c:f>
              <c:strCache>
                <c:ptCount val="1"/>
                <c:pt idx="0">
                  <c:v>2,0E-03</c:v>
                </c:pt>
              </c:strCache>
            </c:strRef>
          </c:tx>
          <c:spPr>
            <a:ln w="15875">
              <a:solidFill>
                <a:schemeClr val="tx2">
                  <a:lumMod val="75000"/>
                  <a:lumOff val="2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'Moody-Diagramm'!$C$4:$C$51</c:f>
              <c:numCache>
                <c:formatCode>0.0E+00</c:formatCode>
                <c:ptCount val="48"/>
                <c:pt idx="0">
                  <c:v>1000</c:v>
                </c:pt>
                <c:pt idx="1">
                  <c:v>1300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13000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60000</c:v>
                </c:pt>
                <c:pt idx="17">
                  <c:v>70000</c:v>
                </c:pt>
                <c:pt idx="18">
                  <c:v>80000</c:v>
                </c:pt>
                <c:pt idx="19">
                  <c:v>90000</c:v>
                </c:pt>
                <c:pt idx="20">
                  <c:v>100000</c:v>
                </c:pt>
                <c:pt idx="21">
                  <c:v>200000</c:v>
                </c:pt>
                <c:pt idx="22">
                  <c:v>300000</c:v>
                </c:pt>
                <c:pt idx="23">
                  <c:v>400000</c:v>
                </c:pt>
                <c:pt idx="24">
                  <c:v>500000</c:v>
                </c:pt>
                <c:pt idx="25">
                  <c:v>600000</c:v>
                </c:pt>
                <c:pt idx="26">
                  <c:v>700000</c:v>
                </c:pt>
                <c:pt idx="27">
                  <c:v>800000</c:v>
                </c:pt>
                <c:pt idx="28">
                  <c:v>900000</c:v>
                </c:pt>
                <c:pt idx="29">
                  <c:v>1000000</c:v>
                </c:pt>
                <c:pt idx="30">
                  <c:v>2000000</c:v>
                </c:pt>
                <c:pt idx="31">
                  <c:v>3000000</c:v>
                </c:pt>
                <c:pt idx="32">
                  <c:v>4000000</c:v>
                </c:pt>
                <c:pt idx="33">
                  <c:v>5000000</c:v>
                </c:pt>
                <c:pt idx="34">
                  <c:v>6000000</c:v>
                </c:pt>
                <c:pt idx="35">
                  <c:v>7000000</c:v>
                </c:pt>
                <c:pt idx="36">
                  <c:v>8000000</c:v>
                </c:pt>
                <c:pt idx="37">
                  <c:v>9000000</c:v>
                </c:pt>
                <c:pt idx="38">
                  <c:v>10000000</c:v>
                </c:pt>
                <c:pt idx="39">
                  <c:v>20000000</c:v>
                </c:pt>
                <c:pt idx="40">
                  <c:v>30000000</c:v>
                </c:pt>
                <c:pt idx="41">
                  <c:v>40000000</c:v>
                </c:pt>
                <c:pt idx="42">
                  <c:v>50000000</c:v>
                </c:pt>
                <c:pt idx="43">
                  <c:v>60000000</c:v>
                </c:pt>
                <c:pt idx="44">
                  <c:v>70000000</c:v>
                </c:pt>
                <c:pt idx="45">
                  <c:v>80000000</c:v>
                </c:pt>
                <c:pt idx="46">
                  <c:v>90000000</c:v>
                </c:pt>
                <c:pt idx="47">
                  <c:v>100000000</c:v>
                </c:pt>
              </c:numCache>
            </c:numRef>
          </c:xVal>
          <c:yVal>
            <c:numRef>
              <c:f>'Moody-Diagramm'!$M$4:$M$51</c:f>
              <c:numCache>
                <c:formatCode>0.00000</c:formatCode>
                <c:ptCount val="48"/>
                <c:pt idx="0">
                  <c:v>6.3841255502408337E-2</c:v>
                </c:pt>
                <c:pt idx="1">
                  <c:v>5.8443531405558587E-2</c:v>
                </c:pt>
                <c:pt idx="2">
                  <c:v>5.1003397962535654E-2</c:v>
                </c:pt>
                <c:pt idx="3">
                  <c:v>4.5314810618520267E-2</c:v>
                </c:pt>
                <c:pt idx="4">
                  <c:v>4.1911744966892046E-2</c:v>
                </c:pt>
                <c:pt idx="5">
                  <c:v>3.9583149044777222E-2</c:v>
                </c:pt>
                <c:pt idx="6">
                  <c:v>3.786176441603855E-2</c:v>
                </c:pt>
                <c:pt idx="7">
                  <c:v>3.652346275694307E-2</c:v>
                </c:pt>
                <c:pt idx="8">
                  <c:v>3.5445336718636526E-2</c:v>
                </c:pt>
                <c:pt idx="9">
                  <c:v>3.4553526608319347E-2</c:v>
                </c:pt>
                <c:pt idx="10">
                  <c:v>3.3800580653647265E-2</c:v>
                </c:pt>
                <c:pt idx="11">
                  <c:v>3.209826820946883E-2</c:v>
                </c:pt>
                <c:pt idx="12">
                  <c:v>2.978623224083465E-2</c:v>
                </c:pt>
                <c:pt idx="13">
                  <c:v>2.8086844630444578E-2</c:v>
                </c:pt>
                <c:pt idx="14">
                  <c:v>2.7121927160108104E-2</c:v>
                </c:pt>
                <c:pt idx="15">
                  <c:v>2.6493622337063424E-2</c:v>
                </c:pt>
                <c:pt idx="16">
                  <c:v>2.6049844886867329E-2</c:v>
                </c:pt>
                <c:pt idx="17">
                  <c:v>2.5718864073285656E-2</c:v>
                </c:pt>
                <c:pt idx="18">
                  <c:v>2.5462134460420113E-2</c:v>
                </c:pt>
                <c:pt idx="19">
                  <c:v>2.5256993278992831E-2</c:v>
                </c:pt>
                <c:pt idx="20">
                  <c:v>2.5089203556719179E-2</c:v>
                </c:pt>
                <c:pt idx="21">
                  <c:v>2.428825245625894E-2</c:v>
                </c:pt>
                <c:pt idx="22">
                  <c:v>2.4002081545131112E-2</c:v>
                </c:pt>
                <c:pt idx="23">
                  <c:v>2.3854851797028641E-2</c:v>
                </c:pt>
                <c:pt idx="24">
                  <c:v>2.3765103598292599E-2</c:v>
                </c:pt>
                <c:pt idx="25">
                  <c:v>2.3704662637936257E-2</c:v>
                </c:pt>
                <c:pt idx="26">
                  <c:v>2.3661185315171151E-2</c:v>
                </c:pt>
                <c:pt idx="27">
                  <c:v>2.362840764009436E-2</c:v>
                </c:pt>
                <c:pt idx="28">
                  <c:v>2.3602812093773979E-2</c:v>
                </c:pt>
                <c:pt idx="29">
                  <c:v>2.3582270906714858E-2</c:v>
                </c:pt>
                <c:pt idx="30">
                  <c:v>2.3489111140255134E-2</c:v>
                </c:pt>
                <c:pt idx="31">
                  <c:v>2.3457789749126965E-2</c:v>
                </c:pt>
                <c:pt idx="32">
                  <c:v>2.3442077906268073E-2</c:v>
                </c:pt>
                <c:pt idx="33">
                  <c:v>2.3432634319306742E-2</c:v>
                </c:pt>
                <c:pt idx="34">
                  <c:v>2.342633170081657E-2</c:v>
                </c:pt>
                <c:pt idx="35">
                  <c:v>2.3421826445446464E-2</c:v>
                </c:pt>
                <c:pt idx="36">
                  <c:v>2.341844564949342E-2</c:v>
                </c:pt>
                <c:pt idx="37">
                  <c:v>2.341581504118416E-2</c:v>
                </c:pt>
                <c:pt idx="38">
                  <c:v>2.3413709860624094E-2</c:v>
                </c:pt>
                <c:pt idx="39">
                  <c:v>2.3404228901653876E-2</c:v>
                </c:pt>
                <c:pt idx="40">
                  <c:v>2.3401065796399494E-2</c:v>
                </c:pt>
                <c:pt idx="41">
                  <c:v>2.3399483720553744E-2</c:v>
                </c:pt>
                <c:pt idx="42">
                  <c:v>2.3398534307498463E-2</c:v>
                </c:pt>
                <c:pt idx="43">
                  <c:v>2.3397901295622692E-2</c:v>
                </c:pt>
                <c:pt idx="44">
                  <c:v>2.3397449110067428E-2</c:v>
                </c:pt>
                <c:pt idx="45">
                  <c:v>2.3397109952186135E-2</c:v>
                </c:pt>
                <c:pt idx="46">
                  <c:v>2.3396846151631168E-2</c:v>
                </c:pt>
                <c:pt idx="47">
                  <c:v>2.3396635104198704E-2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0186-476F-8CFA-8E0E60416979}"/>
            </c:ext>
          </c:extLst>
        </c:ser>
        <c:ser>
          <c:idx val="32"/>
          <c:order val="32"/>
          <c:tx>
            <c:strRef>
              <c:f>'Moody-Diagramm'!$N$3</c:f>
              <c:strCache>
                <c:ptCount val="1"/>
                <c:pt idx="0">
                  <c:v>1,0E-03</c:v>
                </c:pt>
              </c:strCache>
            </c:strRef>
          </c:tx>
          <c:spPr>
            <a:ln w="15875">
              <a:solidFill>
                <a:schemeClr val="tx2">
                  <a:lumMod val="75000"/>
                  <a:lumOff val="2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'Moody-Diagramm'!$C$4:$C$51</c:f>
              <c:numCache>
                <c:formatCode>0.0E+00</c:formatCode>
                <c:ptCount val="48"/>
                <c:pt idx="0">
                  <c:v>1000</c:v>
                </c:pt>
                <c:pt idx="1">
                  <c:v>1300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13000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60000</c:v>
                </c:pt>
                <c:pt idx="17">
                  <c:v>70000</c:v>
                </c:pt>
                <c:pt idx="18">
                  <c:v>80000</c:v>
                </c:pt>
                <c:pt idx="19">
                  <c:v>90000</c:v>
                </c:pt>
                <c:pt idx="20">
                  <c:v>100000</c:v>
                </c:pt>
                <c:pt idx="21">
                  <c:v>200000</c:v>
                </c:pt>
                <c:pt idx="22">
                  <c:v>300000</c:v>
                </c:pt>
                <c:pt idx="23">
                  <c:v>400000</c:v>
                </c:pt>
                <c:pt idx="24">
                  <c:v>500000</c:v>
                </c:pt>
                <c:pt idx="25">
                  <c:v>600000</c:v>
                </c:pt>
                <c:pt idx="26">
                  <c:v>700000</c:v>
                </c:pt>
                <c:pt idx="27">
                  <c:v>800000</c:v>
                </c:pt>
                <c:pt idx="28">
                  <c:v>900000</c:v>
                </c:pt>
                <c:pt idx="29">
                  <c:v>1000000</c:v>
                </c:pt>
                <c:pt idx="30">
                  <c:v>2000000</c:v>
                </c:pt>
                <c:pt idx="31">
                  <c:v>3000000</c:v>
                </c:pt>
                <c:pt idx="32">
                  <c:v>4000000</c:v>
                </c:pt>
                <c:pt idx="33">
                  <c:v>5000000</c:v>
                </c:pt>
                <c:pt idx="34">
                  <c:v>6000000</c:v>
                </c:pt>
                <c:pt idx="35">
                  <c:v>7000000</c:v>
                </c:pt>
                <c:pt idx="36">
                  <c:v>8000000</c:v>
                </c:pt>
                <c:pt idx="37">
                  <c:v>9000000</c:v>
                </c:pt>
                <c:pt idx="38">
                  <c:v>10000000</c:v>
                </c:pt>
                <c:pt idx="39">
                  <c:v>20000000</c:v>
                </c:pt>
                <c:pt idx="40">
                  <c:v>30000000</c:v>
                </c:pt>
                <c:pt idx="41">
                  <c:v>40000000</c:v>
                </c:pt>
                <c:pt idx="42">
                  <c:v>50000000</c:v>
                </c:pt>
                <c:pt idx="43">
                  <c:v>60000000</c:v>
                </c:pt>
                <c:pt idx="44">
                  <c:v>70000000</c:v>
                </c:pt>
                <c:pt idx="45">
                  <c:v>80000000</c:v>
                </c:pt>
                <c:pt idx="46">
                  <c:v>90000000</c:v>
                </c:pt>
                <c:pt idx="47">
                  <c:v>100000000</c:v>
                </c:pt>
              </c:numCache>
            </c:numRef>
          </c:xVal>
          <c:yVal>
            <c:numRef>
              <c:f>'Moody-Diagramm'!$N$4:$N$51</c:f>
              <c:numCache>
                <c:formatCode>0.00000</c:formatCode>
                <c:ptCount val="48"/>
                <c:pt idx="0">
                  <c:v>6.3245569367763071E-2</c:v>
                </c:pt>
                <c:pt idx="1">
                  <c:v>5.7795834595267173E-2</c:v>
                </c:pt>
                <c:pt idx="2">
                  <c:v>5.0252003562402177E-2</c:v>
                </c:pt>
                <c:pt idx="3">
                  <c:v>4.4441745530145099E-2</c:v>
                </c:pt>
                <c:pt idx="4">
                  <c:v>4.0936138910126978E-2</c:v>
                </c:pt>
                <c:pt idx="5">
                  <c:v>3.8517831952114577E-2</c:v>
                </c:pt>
                <c:pt idx="6">
                  <c:v>3.6716180247866437E-2</c:v>
                </c:pt>
                <c:pt idx="7">
                  <c:v>3.5304974076060584E-2</c:v>
                </c:pt>
                <c:pt idx="8">
                  <c:v>3.415991118895615E-2</c:v>
                </c:pt>
                <c:pt idx="9">
                  <c:v>3.3206138851433219E-2</c:v>
                </c:pt>
                <c:pt idx="10">
                  <c:v>3.2395466056671054E-2</c:v>
                </c:pt>
                <c:pt idx="11">
                  <c:v>3.054025099468376E-2</c:v>
                </c:pt>
                <c:pt idx="12">
                  <c:v>2.7951834880731059E-2</c:v>
                </c:pt>
                <c:pt idx="13">
                  <c:v>2.5971802622336969E-2</c:v>
                </c:pt>
                <c:pt idx="14">
                  <c:v>2.4803028119855772E-2</c:v>
                </c:pt>
                <c:pt idx="15">
                  <c:v>2.4018076320620464E-2</c:v>
                </c:pt>
                <c:pt idx="16">
                  <c:v>2.3449418263095621E-2</c:v>
                </c:pt>
                <c:pt idx="17">
                  <c:v>2.3016199611500057E-2</c:v>
                </c:pt>
                <c:pt idx="18">
                  <c:v>2.2674045962106475E-2</c:v>
                </c:pt>
                <c:pt idx="19">
                  <c:v>2.239635922691708E-2</c:v>
                </c:pt>
                <c:pt idx="20">
                  <c:v>2.2166132982791555E-2</c:v>
                </c:pt>
                <c:pt idx="21">
                  <c:v>2.1020779643423713E-2</c:v>
                </c:pt>
                <c:pt idx="22">
                  <c:v>2.0588535247362229E-2</c:v>
                </c:pt>
                <c:pt idx="23">
                  <c:v>2.0360257564854052E-2</c:v>
                </c:pt>
                <c:pt idx="24">
                  <c:v>2.021892217004401E-2</c:v>
                </c:pt>
                <c:pt idx="25">
                  <c:v>2.0122748390391298E-2</c:v>
                </c:pt>
                <c:pt idx="26">
                  <c:v>2.0053052632345681E-2</c:v>
                </c:pt>
                <c:pt idx="27">
                  <c:v>2.0000215434702723E-2</c:v>
                </c:pt>
                <c:pt idx="28">
                  <c:v>1.9958776328969589E-2</c:v>
                </c:pt>
                <c:pt idx="29">
                  <c:v>1.9925404366759013E-2</c:v>
                </c:pt>
                <c:pt idx="30">
                  <c:v>1.9772716538230213E-2</c:v>
                </c:pt>
                <c:pt idx="31">
                  <c:v>1.9720872028305615E-2</c:v>
                </c:pt>
                <c:pt idx="32">
                  <c:v>1.9694765383405626E-2</c:v>
                </c:pt>
                <c:pt idx="33">
                  <c:v>1.967904151548416E-2</c:v>
                </c:pt>
                <c:pt idx="34">
                  <c:v>1.966853377957576E-2</c:v>
                </c:pt>
                <c:pt idx="35">
                  <c:v>1.9661015866097246E-2</c:v>
                </c:pt>
                <c:pt idx="36">
                  <c:v>1.9655370630980103E-2</c:v>
                </c:pt>
                <c:pt idx="37">
                  <c:v>1.9650975851705471E-2</c:v>
                </c:pt>
                <c:pt idx="38">
                  <c:v>1.9647457477077319E-2</c:v>
                </c:pt>
                <c:pt idx="39">
                  <c:v>1.9631596622010406E-2</c:v>
                </c:pt>
                <c:pt idx="40">
                  <c:v>1.9626299386784951E-2</c:v>
                </c:pt>
                <c:pt idx="41">
                  <c:v>1.9623648833706937E-2</c:v>
                </c:pt>
                <c:pt idx="42">
                  <c:v>1.9622057881571991E-2</c:v>
                </c:pt>
                <c:pt idx="43">
                  <c:v>1.9620996988144106E-2</c:v>
                </c:pt>
                <c:pt idx="44">
                  <c:v>1.9620239080359383E-2</c:v>
                </c:pt>
                <c:pt idx="45">
                  <c:v>1.9619670580170029E-2</c:v>
                </c:pt>
                <c:pt idx="46">
                  <c:v>1.9619228372247752E-2</c:v>
                </c:pt>
                <c:pt idx="47">
                  <c:v>1.9618874580006065E-2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0186-476F-8CFA-8E0E60416979}"/>
            </c:ext>
          </c:extLst>
        </c:ser>
        <c:ser>
          <c:idx val="33"/>
          <c:order val="33"/>
          <c:tx>
            <c:strRef>
              <c:f>'Moody-Diagramm'!$O$3</c:f>
              <c:strCache>
                <c:ptCount val="1"/>
                <c:pt idx="0">
                  <c:v>8,0E-04</c:v>
                </c:pt>
              </c:strCache>
            </c:strRef>
          </c:tx>
          <c:spPr>
            <a:ln w="15875">
              <a:solidFill>
                <a:schemeClr val="tx2">
                  <a:lumMod val="75000"/>
                  <a:lumOff val="2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'Moody-Diagramm'!$C$4:$C$51</c:f>
              <c:numCache>
                <c:formatCode>0.0E+00</c:formatCode>
                <c:ptCount val="48"/>
                <c:pt idx="0">
                  <c:v>1000</c:v>
                </c:pt>
                <c:pt idx="1">
                  <c:v>1300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13000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60000</c:v>
                </c:pt>
                <c:pt idx="17">
                  <c:v>70000</c:v>
                </c:pt>
                <c:pt idx="18">
                  <c:v>80000</c:v>
                </c:pt>
                <c:pt idx="19">
                  <c:v>90000</c:v>
                </c:pt>
                <c:pt idx="20">
                  <c:v>100000</c:v>
                </c:pt>
                <c:pt idx="21">
                  <c:v>200000</c:v>
                </c:pt>
                <c:pt idx="22">
                  <c:v>300000</c:v>
                </c:pt>
                <c:pt idx="23">
                  <c:v>400000</c:v>
                </c:pt>
                <c:pt idx="24">
                  <c:v>500000</c:v>
                </c:pt>
                <c:pt idx="25">
                  <c:v>600000</c:v>
                </c:pt>
                <c:pt idx="26">
                  <c:v>700000</c:v>
                </c:pt>
                <c:pt idx="27">
                  <c:v>800000</c:v>
                </c:pt>
                <c:pt idx="28">
                  <c:v>900000</c:v>
                </c:pt>
                <c:pt idx="29">
                  <c:v>1000000</c:v>
                </c:pt>
                <c:pt idx="30">
                  <c:v>2000000</c:v>
                </c:pt>
                <c:pt idx="31">
                  <c:v>3000000</c:v>
                </c:pt>
                <c:pt idx="32">
                  <c:v>4000000</c:v>
                </c:pt>
                <c:pt idx="33">
                  <c:v>5000000</c:v>
                </c:pt>
                <c:pt idx="34">
                  <c:v>6000000</c:v>
                </c:pt>
                <c:pt idx="35">
                  <c:v>7000000</c:v>
                </c:pt>
                <c:pt idx="36">
                  <c:v>8000000</c:v>
                </c:pt>
                <c:pt idx="37">
                  <c:v>9000000</c:v>
                </c:pt>
                <c:pt idx="38">
                  <c:v>10000000</c:v>
                </c:pt>
                <c:pt idx="39">
                  <c:v>20000000</c:v>
                </c:pt>
                <c:pt idx="40">
                  <c:v>30000000</c:v>
                </c:pt>
                <c:pt idx="41">
                  <c:v>40000000</c:v>
                </c:pt>
                <c:pt idx="42">
                  <c:v>50000000</c:v>
                </c:pt>
                <c:pt idx="43">
                  <c:v>60000000</c:v>
                </c:pt>
                <c:pt idx="44">
                  <c:v>70000000</c:v>
                </c:pt>
                <c:pt idx="45">
                  <c:v>80000000</c:v>
                </c:pt>
                <c:pt idx="46">
                  <c:v>90000000</c:v>
                </c:pt>
                <c:pt idx="47">
                  <c:v>100000000</c:v>
                </c:pt>
              </c:numCache>
            </c:numRef>
          </c:xVal>
          <c:yVal>
            <c:numRef>
              <c:f>'Moody-Diagramm'!$O$4:$O$51</c:f>
              <c:numCache>
                <c:formatCode>0.00000</c:formatCode>
                <c:ptCount val="48"/>
                <c:pt idx="0">
                  <c:v>6.3126171797333902E-2</c:v>
                </c:pt>
                <c:pt idx="1">
                  <c:v>5.7665867418391165E-2</c:v>
                </c:pt>
                <c:pt idx="2">
                  <c:v>5.0100827955860627E-2</c:v>
                </c:pt>
                <c:pt idx="3">
                  <c:v>4.426542100964944E-2</c:v>
                </c:pt>
                <c:pt idx="4">
                  <c:v>4.0738363364130073E-2</c:v>
                </c:pt>
                <c:pt idx="5">
                  <c:v>3.8301072773416385E-2</c:v>
                </c:pt>
                <c:pt idx="6">
                  <c:v>3.6482247771736143E-2</c:v>
                </c:pt>
                <c:pt idx="7">
                  <c:v>3.5055277249842094E-2</c:v>
                </c:pt>
                <c:pt idx="8">
                  <c:v>3.3895591529229746E-2</c:v>
                </c:pt>
                <c:pt idx="9">
                  <c:v>3.2928148510621168E-2</c:v>
                </c:pt>
                <c:pt idx="10">
                  <c:v>3.2104616907142738E-2</c:v>
                </c:pt>
                <c:pt idx="11">
                  <c:v>3.021472798913858E-2</c:v>
                </c:pt>
                <c:pt idx="12">
                  <c:v>2.7561074663594032E-2</c:v>
                </c:pt>
                <c:pt idx="13">
                  <c:v>2.5510793818075975E-2</c:v>
                </c:pt>
                <c:pt idx="14">
                  <c:v>2.4287978267978291E-2</c:v>
                </c:pt>
                <c:pt idx="15">
                  <c:v>2.345950905524578E-2</c:v>
                </c:pt>
                <c:pt idx="16">
                  <c:v>2.2854774184278951E-2</c:v>
                </c:pt>
                <c:pt idx="17">
                  <c:v>2.2391021522959454E-2</c:v>
                </c:pt>
                <c:pt idx="18">
                  <c:v>2.2022614130021573E-2</c:v>
                </c:pt>
                <c:pt idx="19">
                  <c:v>2.1722068245053888E-2</c:v>
                </c:pt>
                <c:pt idx="20">
                  <c:v>2.1471731530275869E-2</c:v>
                </c:pt>
                <c:pt idx="21">
                  <c:v>2.0207267696601087E-2</c:v>
                </c:pt>
                <c:pt idx="22">
                  <c:v>1.9719689858227443E-2</c:v>
                </c:pt>
                <c:pt idx="23">
                  <c:v>1.945927707956123E-2</c:v>
                </c:pt>
                <c:pt idx="24">
                  <c:v>1.9296912765294948E-2</c:v>
                </c:pt>
                <c:pt idx="25">
                  <c:v>1.9185898162956072E-2</c:v>
                </c:pt>
                <c:pt idx="26">
                  <c:v>1.9105165457753957E-2</c:v>
                </c:pt>
                <c:pt idx="27">
                  <c:v>1.9043797546656371E-2</c:v>
                </c:pt>
                <c:pt idx="28">
                  <c:v>1.8995566728738318E-2</c:v>
                </c:pt>
                <c:pt idx="29">
                  <c:v>1.8956659180583969E-2</c:v>
                </c:pt>
                <c:pt idx="30">
                  <c:v>1.8777864075728977E-2</c:v>
                </c:pt>
                <c:pt idx="31">
                  <c:v>1.8716852062953919E-2</c:v>
                </c:pt>
                <c:pt idx="32">
                  <c:v>1.8686068654108632E-2</c:v>
                </c:pt>
                <c:pt idx="33">
                  <c:v>1.8667508164328283E-2</c:v>
                </c:pt>
                <c:pt idx="34">
                  <c:v>1.8655096421516033E-2</c:v>
                </c:pt>
                <c:pt idx="35">
                  <c:v>1.8646212110985699E-2</c:v>
                </c:pt>
                <c:pt idx="36">
                  <c:v>1.8639538558689984E-2</c:v>
                </c:pt>
                <c:pt idx="37">
                  <c:v>1.8634341881110589E-2</c:v>
                </c:pt>
                <c:pt idx="38">
                  <c:v>1.8630180662193453E-2</c:v>
                </c:pt>
                <c:pt idx="39">
                  <c:v>1.8611412326088161E-2</c:v>
                </c:pt>
                <c:pt idx="40">
                  <c:v>1.8605140553798201E-2</c:v>
                </c:pt>
                <c:pt idx="41">
                  <c:v>1.8602001717143428E-2</c:v>
                </c:pt>
                <c:pt idx="42">
                  <c:v>1.8600117469156949E-2</c:v>
                </c:pt>
                <c:pt idx="43">
                  <c:v>1.8598860909243786E-2</c:v>
                </c:pt>
                <c:pt idx="44">
                  <c:v>1.8597963173046714E-2</c:v>
                </c:pt>
                <c:pt idx="45">
                  <c:v>1.8597289765080877E-2</c:v>
                </c:pt>
                <c:pt idx="46">
                  <c:v>1.8596765940600137E-2</c:v>
                </c:pt>
                <c:pt idx="47">
                  <c:v>1.8596346841484975E-2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0186-476F-8CFA-8E0E60416979}"/>
            </c:ext>
          </c:extLst>
        </c:ser>
        <c:ser>
          <c:idx val="34"/>
          <c:order val="34"/>
          <c:tx>
            <c:strRef>
              <c:f>'Moody-Diagramm'!$P$3</c:f>
              <c:strCache>
                <c:ptCount val="1"/>
                <c:pt idx="0">
                  <c:v>6,0E-04</c:v>
                </c:pt>
              </c:strCache>
            </c:strRef>
          </c:tx>
          <c:spPr>
            <a:ln w="15875">
              <a:solidFill>
                <a:schemeClr val="tx2">
                  <a:lumMod val="75000"/>
                  <a:lumOff val="2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'Moody-Diagramm'!$C$4:$C$51</c:f>
              <c:numCache>
                <c:formatCode>0.0E+00</c:formatCode>
                <c:ptCount val="48"/>
                <c:pt idx="0">
                  <c:v>1000</c:v>
                </c:pt>
                <c:pt idx="1">
                  <c:v>1300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13000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60000</c:v>
                </c:pt>
                <c:pt idx="17">
                  <c:v>70000</c:v>
                </c:pt>
                <c:pt idx="18">
                  <c:v>80000</c:v>
                </c:pt>
                <c:pt idx="19">
                  <c:v>90000</c:v>
                </c:pt>
                <c:pt idx="20">
                  <c:v>100000</c:v>
                </c:pt>
                <c:pt idx="21">
                  <c:v>200000</c:v>
                </c:pt>
                <c:pt idx="22">
                  <c:v>300000</c:v>
                </c:pt>
                <c:pt idx="23">
                  <c:v>400000</c:v>
                </c:pt>
                <c:pt idx="24">
                  <c:v>500000</c:v>
                </c:pt>
                <c:pt idx="25">
                  <c:v>600000</c:v>
                </c:pt>
                <c:pt idx="26">
                  <c:v>700000</c:v>
                </c:pt>
                <c:pt idx="27">
                  <c:v>800000</c:v>
                </c:pt>
                <c:pt idx="28">
                  <c:v>900000</c:v>
                </c:pt>
                <c:pt idx="29">
                  <c:v>1000000</c:v>
                </c:pt>
                <c:pt idx="30">
                  <c:v>2000000</c:v>
                </c:pt>
                <c:pt idx="31">
                  <c:v>3000000</c:v>
                </c:pt>
                <c:pt idx="32">
                  <c:v>4000000</c:v>
                </c:pt>
                <c:pt idx="33">
                  <c:v>5000000</c:v>
                </c:pt>
                <c:pt idx="34">
                  <c:v>6000000</c:v>
                </c:pt>
                <c:pt idx="35">
                  <c:v>7000000</c:v>
                </c:pt>
                <c:pt idx="36">
                  <c:v>8000000</c:v>
                </c:pt>
                <c:pt idx="37">
                  <c:v>9000000</c:v>
                </c:pt>
                <c:pt idx="38">
                  <c:v>10000000</c:v>
                </c:pt>
                <c:pt idx="39">
                  <c:v>20000000</c:v>
                </c:pt>
                <c:pt idx="40">
                  <c:v>30000000</c:v>
                </c:pt>
                <c:pt idx="41">
                  <c:v>40000000</c:v>
                </c:pt>
                <c:pt idx="42">
                  <c:v>50000000</c:v>
                </c:pt>
                <c:pt idx="43">
                  <c:v>60000000</c:v>
                </c:pt>
                <c:pt idx="44">
                  <c:v>70000000</c:v>
                </c:pt>
                <c:pt idx="45">
                  <c:v>80000000</c:v>
                </c:pt>
                <c:pt idx="46">
                  <c:v>90000000</c:v>
                </c:pt>
                <c:pt idx="47">
                  <c:v>100000000</c:v>
                </c:pt>
              </c:numCache>
            </c:numRef>
          </c:xVal>
          <c:yVal>
            <c:numRef>
              <c:f>'Moody-Diagramm'!$P$4:$P$51</c:f>
              <c:numCache>
                <c:formatCode>0.00000</c:formatCode>
                <c:ptCount val="48"/>
                <c:pt idx="0">
                  <c:v>6.3006686580602836E-2</c:v>
                </c:pt>
                <c:pt idx="1">
                  <c:v>5.7535755849599829E-2</c:v>
                </c:pt>
                <c:pt idx="2">
                  <c:v>4.9949347855707968E-2</c:v>
                </c:pt>
                <c:pt idx="3">
                  <c:v>4.408851034761424E-2</c:v>
                </c:pt>
                <c:pt idx="4">
                  <c:v>4.0539671217225716E-2</c:v>
                </c:pt>
                <c:pt idx="5">
                  <c:v>3.8083027063972194E-2</c:v>
                </c:pt>
                <c:pt idx="6">
                  <c:v>3.6246625787833463E-2</c:v>
                </c:pt>
                <c:pt idx="7">
                  <c:v>3.4803459696171921E-2</c:v>
                </c:pt>
                <c:pt idx="8">
                  <c:v>3.3628695463050119E-2</c:v>
                </c:pt>
                <c:pt idx="9">
                  <c:v>3.2647104708842294E-2</c:v>
                </c:pt>
                <c:pt idx="10">
                  <c:v>3.1810218442956506E-2</c:v>
                </c:pt>
                <c:pt idx="11">
                  <c:v>2.9884075794414485E-2</c:v>
                </c:pt>
                <c:pt idx="12">
                  <c:v>2.7161142169145579E-2</c:v>
                </c:pt>
                <c:pt idx="13">
                  <c:v>2.5034447253760434E-2</c:v>
                </c:pt>
                <c:pt idx="14">
                  <c:v>2.3751364738374629E-2</c:v>
                </c:pt>
                <c:pt idx="15">
                  <c:v>2.2873305203421679E-2</c:v>
                </c:pt>
                <c:pt idx="16">
                  <c:v>2.2226671834579811E-2</c:v>
                </c:pt>
                <c:pt idx="17">
                  <c:v>2.1726856408418337E-2</c:v>
                </c:pt>
                <c:pt idx="18">
                  <c:v>2.132697176407616E-2</c:v>
                </c:pt>
                <c:pt idx="19">
                  <c:v>2.0998645197098535E-2</c:v>
                </c:pt>
                <c:pt idx="20">
                  <c:v>2.072356702222258E-2</c:v>
                </c:pt>
                <c:pt idx="21">
                  <c:v>1.9306096676247022E-2</c:v>
                </c:pt>
                <c:pt idx="22">
                  <c:v>1.874313023510632E-2</c:v>
                </c:pt>
                <c:pt idx="23">
                  <c:v>1.8437487462762043E-2</c:v>
                </c:pt>
                <c:pt idx="24">
                  <c:v>1.8244902513582389E-2</c:v>
                </c:pt>
                <c:pt idx="25">
                  <c:v>1.8112248590724401E-2</c:v>
                </c:pt>
                <c:pt idx="26">
                  <c:v>1.8015249857479591E-2</c:v>
                </c:pt>
                <c:pt idx="27">
                  <c:v>1.7941205723383754E-2</c:v>
                </c:pt>
                <c:pt idx="28">
                  <c:v>1.7882816716172523E-2</c:v>
                </c:pt>
                <c:pt idx="29">
                  <c:v>1.7835585737512653E-2</c:v>
                </c:pt>
                <c:pt idx="30">
                  <c:v>1.7616986452610263E-2</c:v>
                </c:pt>
                <c:pt idx="31">
                  <c:v>1.7541775585837104E-2</c:v>
                </c:pt>
                <c:pt idx="32">
                  <c:v>1.75037028900243E-2</c:v>
                </c:pt>
                <c:pt idx="33">
                  <c:v>1.7480705915014411E-2</c:v>
                </c:pt>
                <c:pt idx="34">
                  <c:v>1.746530978129807E-2</c:v>
                </c:pt>
                <c:pt idx="35">
                  <c:v>1.7454280500985651E-2</c:v>
                </c:pt>
                <c:pt idx="36">
                  <c:v>1.7445990903473898E-2</c:v>
                </c:pt>
                <c:pt idx="37">
                  <c:v>1.7439532936363401E-2</c:v>
                </c:pt>
                <c:pt idx="38">
                  <c:v>1.7434359921382869E-2</c:v>
                </c:pt>
                <c:pt idx="39">
                  <c:v>1.7411007817786317E-2</c:v>
                </c:pt>
                <c:pt idx="40">
                  <c:v>1.7403196859298111E-2</c:v>
                </c:pt>
                <c:pt idx="41">
                  <c:v>1.739928629832567E-2</c:v>
                </c:pt>
                <c:pt idx="42">
                  <c:v>1.7396938331266244E-2</c:v>
                </c:pt>
                <c:pt idx="43">
                  <c:v>1.7395372339524082E-2</c:v>
                </c:pt>
                <c:pt idx="44">
                  <c:v>1.7394253440435058E-2</c:v>
                </c:pt>
                <c:pt idx="45">
                  <c:v>1.7393414083581804E-2</c:v>
                </c:pt>
                <c:pt idx="46">
                  <c:v>1.7392761142250582E-2</c:v>
                </c:pt>
                <c:pt idx="47">
                  <c:v>1.7392238720979076E-2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0186-476F-8CFA-8E0E60416979}"/>
            </c:ext>
          </c:extLst>
        </c:ser>
        <c:ser>
          <c:idx val="35"/>
          <c:order val="35"/>
          <c:tx>
            <c:strRef>
              <c:f>'Moody-Diagramm'!$Q$3</c:f>
              <c:strCache>
                <c:ptCount val="1"/>
                <c:pt idx="0">
                  <c:v>4,0E-04</c:v>
                </c:pt>
              </c:strCache>
            </c:strRef>
          </c:tx>
          <c:spPr>
            <a:ln w="15875">
              <a:solidFill>
                <a:schemeClr val="tx2">
                  <a:lumMod val="75000"/>
                  <a:lumOff val="2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'Moody-Diagramm'!$C$4:$C$51</c:f>
              <c:numCache>
                <c:formatCode>0.0E+00</c:formatCode>
                <c:ptCount val="48"/>
                <c:pt idx="0">
                  <c:v>1000</c:v>
                </c:pt>
                <c:pt idx="1">
                  <c:v>1300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13000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60000</c:v>
                </c:pt>
                <c:pt idx="17">
                  <c:v>70000</c:v>
                </c:pt>
                <c:pt idx="18">
                  <c:v>80000</c:v>
                </c:pt>
                <c:pt idx="19">
                  <c:v>90000</c:v>
                </c:pt>
                <c:pt idx="20">
                  <c:v>100000</c:v>
                </c:pt>
                <c:pt idx="21">
                  <c:v>200000</c:v>
                </c:pt>
                <c:pt idx="22">
                  <c:v>300000</c:v>
                </c:pt>
                <c:pt idx="23">
                  <c:v>400000</c:v>
                </c:pt>
                <c:pt idx="24">
                  <c:v>500000</c:v>
                </c:pt>
                <c:pt idx="25">
                  <c:v>600000</c:v>
                </c:pt>
                <c:pt idx="26">
                  <c:v>700000</c:v>
                </c:pt>
                <c:pt idx="27">
                  <c:v>800000</c:v>
                </c:pt>
                <c:pt idx="28">
                  <c:v>900000</c:v>
                </c:pt>
                <c:pt idx="29">
                  <c:v>1000000</c:v>
                </c:pt>
                <c:pt idx="30">
                  <c:v>2000000</c:v>
                </c:pt>
                <c:pt idx="31">
                  <c:v>3000000</c:v>
                </c:pt>
                <c:pt idx="32">
                  <c:v>4000000</c:v>
                </c:pt>
                <c:pt idx="33">
                  <c:v>5000000</c:v>
                </c:pt>
                <c:pt idx="34">
                  <c:v>6000000</c:v>
                </c:pt>
                <c:pt idx="35">
                  <c:v>7000000</c:v>
                </c:pt>
                <c:pt idx="36">
                  <c:v>8000000</c:v>
                </c:pt>
                <c:pt idx="37">
                  <c:v>9000000</c:v>
                </c:pt>
                <c:pt idx="38">
                  <c:v>10000000</c:v>
                </c:pt>
                <c:pt idx="39">
                  <c:v>20000000</c:v>
                </c:pt>
                <c:pt idx="40">
                  <c:v>30000000</c:v>
                </c:pt>
                <c:pt idx="41">
                  <c:v>40000000</c:v>
                </c:pt>
                <c:pt idx="42">
                  <c:v>50000000</c:v>
                </c:pt>
                <c:pt idx="43">
                  <c:v>60000000</c:v>
                </c:pt>
                <c:pt idx="44">
                  <c:v>70000000</c:v>
                </c:pt>
                <c:pt idx="45">
                  <c:v>80000000</c:v>
                </c:pt>
                <c:pt idx="46">
                  <c:v>90000000</c:v>
                </c:pt>
                <c:pt idx="47">
                  <c:v>100000000</c:v>
                </c:pt>
              </c:numCache>
            </c:numRef>
          </c:xVal>
          <c:yVal>
            <c:numRef>
              <c:f>'Moody-Diagramm'!$Q$4:$Q$51</c:f>
              <c:numCache>
                <c:formatCode>0.00000</c:formatCode>
                <c:ptCount val="48"/>
                <c:pt idx="0">
                  <c:v>6.2887113344482298E-2</c:v>
                </c:pt>
                <c:pt idx="1">
                  <c:v>5.7405499115191383E-2</c:v>
                </c:pt>
                <c:pt idx="2">
                  <c:v>4.9797560823182201E-2</c:v>
                </c:pt>
                <c:pt idx="3">
                  <c:v>4.3911006635093827E-2</c:v>
                </c:pt>
                <c:pt idx="4">
                  <c:v>4.0340048256096196E-2</c:v>
                </c:pt>
                <c:pt idx="5">
                  <c:v>3.7863670169646764E-2</c:v>
                </c:pt>
                <c:pt idx="6">
                  <c:v>3.6009275842880016E-2</c:v>
                </c:pt>
                <c:pt idx="7">
                  <c:v>3.4549465639260646E-2</c:v>
                </c:pt>
                <c:pt idx="8">
                  <c:v>3.3359146246451588E-2</c:v>
                </c:pt>
                <c:pt idx="9">
                  <c:v>3.2362905999388736E-2</c:v>
                </c:pt>
                <c:pt idx="10">
                  <c:v>3.1512140717960407E-2</c:v>
                </c:pt>
                <c:pt idx="11">
                  <c:v>2.9548055870037206E-2</c:v>
                </c:pt>
                <c:pt idx="12">
                  <c:v>2.6751411773323755E-2</c:v>
                </c:pt>
                <c:pt idx="13">
                  <c:v>2.4541284498667947E-2</c:v>
                </c:pt>
                <c:pt idx="14">
                  <c:v>2.3190560345010606E-2</c:v>
                </c:pt>
                <c:pt idx="15">
                  <c:v>2.2255458039860808E-2</c:v>
                </c:pt>
                <c:pt idx="16">
                  <c:v>2.1559551874446407E-2</c:v>
                </c:pt>
                <c:pt idx="17">
                  <c:v>2.1016467157921458E-2</c:v>
                </c:pt>
                <c:pt idx="18">
                  <c:v>2.0578117448811797E-2</c:v>
                </c:pt>
                <c:pt idx="19">
                  <c:v>2.021526845414387E-2</c:v>
                </c:pt>
                <c:pt idx="20">
                  <c:v>1.9908965750351379E-2</c:v>
                </c:pt>
                <c:pt idx="21">
                  <c:v>1.8286897967976747E-2</c:v>
                </c:pt>
                <c:pt idx="22">
                  <c:v>1.7614484572650271E-2</c:v>
                </c:pt>
                <c:pt idx="23">
                  <c:v>1.7239878537241505E-2</c:v>
                </c:pt>
                <c:pt idx="24">
                  <c:v>1.6999677369879052E-2</c:v>
                </c:pt>
                <c:pt idx="25">
                  <c:v>1.6832113933250573E-2</c:v>
                </c:pt>
                <c:pt idx="26">
                  <c:v>1.6708402712523975E-2</c:v>
                </c:pt>
                <c:pt idx="27">
                  <c:v>1.6613249504963679E-2</c:v>
                </c:pt>
                <c:pt idx="28">
                  <c:v>1.6537754220861615E-2</c:v>
                </c:pt>
                <c:pt idx="29">
                  <c:v>1.6476377227026179E-2</c:v>
                </c:pt>
                <c:pt idx="30">
                  <c:v>1.6188437492973475E-2</c:v>
                </c:pt>
                <c:pt idx="31">
                  <c:v>1.6087778280228084E-2</c:v>
                </c:pt>
                <c:pt idx="32">
                  <c:v>1.6036487639395407E-2</c:v>
                </c:pt>
                <c:pt idx="33">
                  <c:v>1.6005393679351554E-2</c:v>
                </c:pt>
                <c:pt idx="34">
                  <c:v>1.5984528280614738E-2</c:v>
                </c:pt>
                <c:pt idx="35">
                  <c:v>1.5969556814523118E-2</c:v>
                </c:pt>
                <c:pt idx="36">
                  <c:v>1.5958290868830129E-2</c:v>
                </c:pt>
                <c:pt idx="37">
                  <c:v>1.594950616995067E-2</c:v>
                </c:pt>
                <c:pt idx="38">
                  <c:v>1.5942464282570734E-2</c:v>
                </c:pt>
                <c:pt idx="39">
                  <c:v>1.5910618788032516E-2</c:v>
                </c:pt>
                <c:pt idx="40">
                  <c:v>1.5899945923022553E-2</c:v>
                </c:pt>
                <c:pt idx="41">
                  <c:v>1.5894598560100656E-2</c:v>
                </c:pt>
                <c:pt idx="42">
                  <c:v>1.5891386630135094E-2</c:v>
                </c:pt>
                <c:pt idx="43">
                  <c:v>1.5889243876699353E-2</c:v>
                </c:pt>
                <c:pt idx="44">
                  <c:v>1.5887712619037691E-2</c:v>
                </c:pt>
                <c:pt idx="45">
                  <c:v>1.5886563781910189E-2</c:v>
                </c:pt>
                <c:pt idx="46">
                  <c:v>1.5885670008331507E-2</c:v>
                </c:pt>
                <c:pt idx="47">
                  <c:v>1.5884954842219124E-2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0186-476F-8CFA-8E0E60416979}"/>
            </c:ext>
          </c:extLst>
        </c:ser>
        <c:ser>
          <c:idx val="36"/>
          <c:order val="36"/>
          <c:tx>
            <c:strRef>
              <c:f>'Moody-Diagramm'!$R$3</c:f>
              <c:strCache>
                <c:ptCount val="1"/>
                <c:pt idx="0">
                  <c:v>2,0E-04</c:v>
                </c:pt>
              </c:strCache>
            </c:strRef>
          </c:tx>
          <c:spPr>
            <a:ln w="15875">
              <a:solidFill>
                <a:schemeClr val="tx2">
                  <a:lumMod val="75000"/>
                  <a:lumOff val="2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'Moody-Diagramm'!$C$4:$C$51</c:f>
              <c:numCache>
                <c:formatCode>0.0E+00</c:formatCode>
                <c:ptCount val="48"/>
                <c:pt idx="0">
                  <c:v>1000</c:v>
                </c:pt>
                <c:pt idx="1">
                  <c:v>1300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13000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60000</c:v>
                </c:pt>
                <c:pt idx="17">
                  <c:v>70000</c:v>
                </c:pt>
                <c:pt idx="18">
                  <c:v>80000</c:v>
                </c:pt>
                <c:pt idx="19">
                  <c:v>90000</c:v>
                </c:pt>
                <c:pt idx="20">
                  <c:v>100000</c:v>
                </c:pt>
                <c:pt idx="21">
                  <c:v>200000</c:v>
                </c:pt>
                <c:pt idx="22">
                  <c:v>300000</c:v>
                </c:pt>
                <c:pt idx="23">
                  <c:v>400000</c:v>
                </c:pt>
                <c:pt idx="24">
                  <c:v>500000</c:v>
                </c:pt>
                <c:pt idx="25">
                  <c:v>600000</c:v>
                </c:pt>
                <c:pt idx="26">
                  <c:v>700000</c:v>
                </c:pt>
                <c:pt idx="27">
                  <c:v>800000</c:v>
                </c:pt>
                <c:pt idx="28">
                  <c:v>900000</c:v>
                </c:pt>
                <c:pt idx="29">
                  <c:v>1000000</c:v>
                </c:pt>
                <c:pt idx="30">
                  <c:v>2000000</c:v>
                </c:pt>
                <c:pt idx="31">
                  <c:v>3000000</c:v>
                </c:pt>
                <c:pt idx="32">
                  <c:v>4000000</c:v>
                </c:pt>
                <c:pt idx="33">
                  <c:v>5000000</c:v>
                </c:pt>
                <c:pt idx="34">
                  <c:v>6000000</c:v>
                </c:pt>
                <c:pt idx="35">
                  <c:v>7000000</c:v>
                </c:pt>
                <c:pt idx="36">
                  <c:v>8000000</c:v>
                </c:pt>
                <c:pt idx="37">
                  <c:v>9000000</c:v>
                </c:pt>
                <c:pt idx="38">
                  <c:v>10000000</c:v>
                </c:pt>
                <c:pt idx="39">
                  <c:v>20000000</c:v>
                </c:pt>
                <c:pt idx="40">
                  <c:v>30000000</c:v>
                </c:pt>
                <c:pt idx="41">
                  <c:v>40000000</c:v>
                </c:pt>
                <c:pt idx="42">
                  <c:v>50000000</c:v>
                </c:pt>
                <c:pt idx="43">
                  <c:v>60000000</c:v>
                </c:pt>
                <c:pt idx="44">
                  <c:v>70000000</c:v>
                </c:pt>
                <c:pt idx="45">
                  <c:v>80000000</c:v>
                </c:pt>
                <c:pt idx="46">
                  <c:v>90000000</c:v>
                </c:pt>
                <c:pt idx="47">
                  <c:v>100000000</c:v>
                </c:pt>
              </c:numCache>
            </c:numRef>
          </c:xVal>
          <c:yVal>
            <c:numRef>
              <c:f>'Moody-Diagramm'!$R$4:$R$51</c:f>
              <c:numCache>
                <c:formatCode>0.00000</c:formatCode>
                <c:ptCount val="48"/>
                <c:pt idx="0">
                  <c:v>6.2767451714745598E-2</c:v>
                </c:pt>
                <c:pt idx="1">
                  <c:v>5.7275096437552894E-2</c:v>
                </c:pt>
                <c:pt idx="2">
                  <c:v>4.9645464396643371E-2</c:v>
                </c:pt>
                <c:pt idx="3">
                  <c:v>4.3732902857569401E-2</c:v>
                </c:pt>
                <c:pt idx="4">
                  <c:v>4.0139479968409053E-2</c:v>
                </c:pt>
                <c:pt idx="5">
                  <c:v>3.7642976777955528E-2</c:v>
                </c:pt>
                <c:pt idx="6">
                  <c:v>3.5770158241676314E-2</c:v>
                </c:pt>
                <c:pt idx="7">
                  <c:v>3.4293237193442697E-2</c:v>
                </c:pt>
                <c:pt idx="8">
                  <c:v>3.3086863812287051E-2</c:v>
                </c:pt>
                <c:pt idx="9">
                  <c:v>3.2075445992645911E-2</c:v>
                </c:pt>
                <c:pt idx="10">
                  <c:v>3.1210246756320816E-2</c:v>
                </c:pt>
                <c:pt idx="11">
                  <c:v>2.9206412991573508E-2</c:v>
                </c:pt>
                <c:pt idx="12">
                  <c:v>2.6331191846180577E-2</c:v>
                </c:pt>
                <c:pt idx="13">
                  <c:v>2.4029600373428852E-2</c:v>
                </c:pt>
                <c:pt idx="14">
                  <c:v>2.2602417030504359E-2</c:v>
                </c:pt>
                <c:pt idx="15">
                  <c:v>2.1600997063203092E-2</c:v>
                </c:pt>
                <c:pt idx="16">
                  <c:v>2.0846295690054799E-2</c:v>
                </c:pt>
                <c:pt idx="17">
                  <c:v>2.0250313082367674E-2</c:v>
                </c:pt>
                <c:pt idx="18">
                  <c:v>1.9763861514063803E-2</c:v>
                </c:pt>
                <c:pt idx="19">
                  <c:v>1.9356914122851916E-2</c:v>
                </c:pt>
                <c:pt idx="20">
                  <c:v>1.9009920661238466E-2</c:v>
                </c:pt>
                <c:pt idx="21">
                  <c:v>1.7098709926501685E-2</c:v>
                </c:pt>
                <c:pt idx="22">
                  <c:v>1.6251453681588635E-2</c:v>
                </c:pt>
                <c:pt idx="23">
                  <c:v>1.5757297163785742E-2</c:v>
                </c:pt>
                <c:pt idx="24">
                  <c:v>1.5429535139846642E-2</c:v>
                </c:pt>
                <c:pt idx="25">
                  <c:v>1.5194836300349178E-2</c:v>
                </c:pt>
                <c:pt idx="26">
                  <c:v>1.5017910617970495E-2</c:v>
                </c:pt>
                <c:pt idx="27">
                  <c:v>1.4879489993462326E-2</c:v>
                </c:pt>
                <c:pt idx="28">
                  <c:v>1.476809675401632E-2</c:v>
                </c:pt>
                <c:pt idx="29">
                  <c:v>1.4676440940010537E-2</c:v>
                </c:pt>
                <c:pt idx="30">
                  <c:v>1.4231503454603391E-2</c:v>
                </c:pt>
                <c:pt idx="31">
                  <c:v>1.4069227798344198E-2</c:v>
                </c:pt>
                <c:pt idx="32">
                  <c:v>1.3984983923103119E-2</c:v>
                </c:pt>
                <c:pt idx="33">
                  <c:v>1.3933365764137891E-2</c:v>
                </c:pt>
                <c:pt idx="34">
                  <c:v>1.389848710642809E-2</c:v>
                </c:pt>
                <c:pt idx="35">
                  <c:v>1.3873338591341381E-2</c:v>
                </c:pt>
                <c:pt idx="36">
                  <c:v>1.3854345926601784E-2</c:v>
                </c:pt>
                <c:pt idx="37">
                  <c:v>1.3839494857247751E-2</c:v>
                </c:pt>
                <c:pt idx="38">
                  <c:v>1.3827563636478872E-2</c:v>
                </c:pt>
                <c:pt idx="39">
                  <c:v>1.3773307260777768E-2</c:v>
                </c:pt>
                <c:pt idx="40">
                  <c:v>1.3755011410991638E-2</c:v>
                </c:pt>
                <c:pt idx="41">
                  <c:v>1.374582317816395E-2</c:v>
                </c:pt>
                <c:pt idx="42">
                  <c:v>1.3740297226822537E-2</c:v>
                </c:pt>
                <c:pt idx="43">
                  <c:v>1.3736607811254476E-2</c:v>
                </c:pt>
                <c:pt idx="44">
                  <c:v>1.3733969837612181E-2</c:v>
                </c:pt>
                <c:pt idx="45">
                  <c:v>1.3731989890272732E-2</c:v>
                </c:pt>
                <c:pt idx="46">
                  <c:v>1.3730449060412202E-2</c:v>
                </c:pt>
                <c:pt idx="47">
                  <c:v>1.372921584721546E-2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0186-476F-8CFA-8E0E60416979}"/>
            </c:ext>
          </c:extLst>
        </c:ser>
        <c:ser>
          <c:idx val="37"/>
          <c:order val="37"/>
          <c:tx>
            <c:strRef>
              <c:f>'Moody-Diagramm'!$S$3</c:f>
              <c:strCache>
                <c:ptCount val="1"/>
                <c:pt idx="0">
                  <c:v>1,0E-04</c:v>
                </c:pt>
              </c:strCache>
            </c:strRef>
          </c:tx>
          <c:spPr>
            <a:ln w="15875">
              <a:solidFill>
                <a:schemeClr val="tx2">
                  <a:lumMod val="75000"/>
                  <a:lumOff val="2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'Moody-Diagramm'!$C$4:$C$51</c:f>
              <c:numCache>
                <c:formatCode>0.0E+00</c:formatCode>
                <c:ptCount val="48"/>
                <c:pt idx="0">
                  <c:v>1000</c:v>
                </c:pt>
                <c:pt idx="1">
                  <c:v>1300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13000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60000</c:v>
                </c:pt>
                <c:pt idx="17">
                  <c:v>70000</c:v>
                </c:pt>
                <c:pt idx="18">
                  <c:v>80000</c:v>
                </c:pt>
                <c:pt idx="19">
                  <c:v>90000</c:v>
                </c:pt>
                <c:pt idx="20">
                  <c:v>100000</c:v>
                </c:pt>
                <c:pt idx="21">
                  <c:v>200000</c:v>
                </c:pt>
                <c:pt idx="22">
                  <c:v>300000</c:v>
                </c:pt>
                <c:pt idx="23">
                  <c:v>400000</c:v>
                </c:pt>
                <c:pt idx="24">
                  <c:v>500000</c:v>
                </c:pt>
                <c:pt idx="25">
                  <c:v>600000</c:v>
                </c:pt>
                <c:pt idx="26">
                  <c:v>700000</c:v>
                </c:pt>
                <c:pt idx="27">
                  <c:v>800000</c:v>
                </c:pt>
                <c:pt idx="28">
                  <c:v>900000</c:v>
                </c:pt>
                <c:pt idx="29">
                  <c:v>1000000</c:v>
                </c:pt>
                <c:pt idx="30">
                  <c:v>2000000</c:v>
                </c:pt>
                <c:pt idx="31">
                  <c:v>3000000</c:v>
                </c:pt>
                <c:pt idx="32">
                  <c:v>4000000</c:v>
                </c:pt>
                <c:pt idx="33">
                  <c:v>5000000</c:v>
                </c:pt>
                <c:pt idx="34">
                  <c:v>6000000</c:v>
                </c:pt>
                <c:pt idx="35">
                  <c:v>7000000</c:v>
                </c:pt>
                <c:pt idx="36">
                  <c:v>8000000</c:v>
                </c:pt>
                <c:pt idx="37">
                  <c:v>9000000</c:v>
                </c:pt>
                <c:pt idx="38">
                  <c:v>10000000</c:v>
                </c:pt>
                <c:pt idx="39">
                  <c:v>20000000</c:v>
                </c:pt>
                <c:pt idx="40">
                  <c:v>30000000</c:v>
                </c:pt>
                <c:pt idx="41">
                  <c:v>40000000</c:v>
                </c:pt>
                <c:pt idx="42">
                  <c:v>50000000</c:v>
                </c:pt>
                <c:pt idx="43">
                  <c:v>60000000</c:v>
                </c:pt>
                <c:pt idx="44">
                  <c:v>70000000</c:v>
                </c:pt>
                <c:pt idx="45">
                  <c:v>80000000</c:v>
                </c:pt>
                <c:pt idx="46">
                  <c:v>90000000</c:v>
                </c:pt>
                <c:pt idx="47">
                  <c:v>100000000</c:v>
                </c:pt>
              </c:numCache>
            </c:numRef>
          </c:xVal>
          <c:yVal>
            <c:numRef>
              <c:f>'Moody-Diagramm'!$S$4:$S$51</c:f>
              <c:numCache>
                <c:formatCode>0.00000</c:formatCode>
                <c:ptCount val="48"/>
                <c:pt idx="0">
                  <c:v>6.2707587635016548E-2</c:v>
                </c:pt>
                <c:pt idx="1">
                  <c:v>5.7209840125951643E-2</c:v>
                </c:pt>
                <c:pt idx="2">
                  <c:v>4.9569299385071354E-2</c:v>
                </c:pt>
                <c:pt idx="3">
                  <c:v>4.3643623723166901E-2</c:v>
                </c:pt>
                <c:pt idx="4">
                  <c:v>4.0038836708648162E-2</c:v>
                </c:pt>
                <c:pt idx="5">
                  <c:v>3.7532120800696185E-2</c:v>
                </c:pt>
                <c:pt idx="6">
                  <c:v>3.5649923814441473E-2</c:v>
                </c:pt>
                <c:pt idx="7">
                  <c:v>3.4164266385655527E-2</c:v>
                </c:pt>
                <c:pt idx="8">
                  <c:v>3.2949671667001489E-2</c:v>
                </c:pt>
                <c:pt idx="9">
                  <c:v>3.1930458333258867E-2</c:v>
                </c:pt>
                <c:pt idx="10">
                  <c:v>3.1057823845928596E-2</c:v>
                </c:pt>
                <c:pt idx="11">
                  <c:v>2.903339826741232E-2</c:v>
                </c:pt>
                <c:pt idx="12">
                  <c:v>2.6116911921140004E-2</c:v>
                </c:pt>
                <c:pt idx="13">
                  <c:v>2.3766206612522982E-2</c:v>
                </c:pt>
                <c:pt idx="14">
                  <c:v>2.2296932824907027E-2</c:v>
                </c:pt>
                <c:pt idx="15">
                  <c:v>2.1258141441318573E-2</c:v>
                </c:pt>
                <c:pt idx="16">
                  <c:v>2.0469566124208728E-2</c:v>
                </c:pt>
                <c:pt idx="17">
                  <c:v>1.9842459182242318E-2</c:v>
                </c:pt>
                <c:pt idx="18">
                  <c:v>1.9327131676821284E-2</c:v>
                </c:pt>
                <c:pt idx="19">
                  <c:v>1.8893199183796672E-2</c:v>
                </c:pt>
                <c:pt idx="20">
                  <c:v>1.8520844420554149E-2</c:v>
                </c:pt>
                <c:pt idx="21">
                  <c:v>1.6414298558147168E-2</c:v>
                </c:pt>
                <c:pt idx="22">
                  <c:v>1.5432735396188391E-2</c:v>
                </c:pt>
                <c:pt idx="23">
                  <c:v>1.483756293998801E-2</c:v>
                </c:pt>
                <c:pt idx="24">
                  <c:v>1.4430098253588864E-2</c:v>
                </c:pt>
                <c:pt idx="25">
                  <c:v>1.4130504876562191E-2</c:v>
                </c:pt>
                <c:pt idx="26">
                  <c:v>1.3899520648061313E-2</c:v>
                </c:pt>
                <c:pt idx="27">
                  <c:v>1.3715267265324644E-2</c:v>
                </c:pt>
                <c:pt idx="28">
                  <c:v>1.3564461520051802E-2</c:v>
                </c:pt>
                <c:pt idx="29">
                  <c:v>1.3438515643889527E-2</c:v>
                </c:pt>
                <c:pt idx="30">
                  <c:v>1.2797893104538088E-2</c:v>
                </c:pt>
                <c:pt idx="31">
                  <c:v>1.2549007204906185E-2</c:v>
                </c:pt>
                <c:pt idx="32">
                  <c:v>1.2415696948249467E-2</c:v>
                </c:pt>
                <c:pt idx="33">
                  <c:v>1.2332454585196271E-2</c:v>
                </c:pt>
                <c:pt idx="34">
                  <c:v>1.227548626510251E-2</c:v>
                </c:pt>
                <c:pt idx="35">
                  <c:v>1.2234031775092953E-2</c:v>
                </c:pt>
                <c:pt idx="36">
                  <c:v>1.2202506698315295E-2</c:v>
                </c:pt>
                <c:pt idx="37">
                  <c:v>1.2177721968263836E-2</c:v>
                </c:pt>
                <c:pt idx="38">
                  <c:v>1.2157723072605073E-2</c:v>
                </c:pt>
                <c:pt idx="39">
                  <c:v>1.2065763423161961E-2</c:v>
                </c:pt>
                <c:pt idx="40">
                  <c:v>1.2034362700588247E-2</c:v>
                </c:pt>
                <c:pt idx="41">
                  <c:v>1.2018515825459666E-2</c:v>
                </c:pt>
                <c:pt idx="42">
                  <c:v>1.2008959954862152E-2</c:v>
                </c:pt>
                <c:pt idx="43">
                  <c:v>1.2002569276284417E-2</c:v>
                </c:pt>
                <c:pt idx="44">
                  <c:v>1.1997994596660745E-2</c:v>
                </c:pt>
                <c:pt idx="45">
                  <c:v>1.1994558142650921E-2</c:v>
                </c:pt>
                <c:pt idx="46">
                  <c:v>1.1991882107709252E-2</c:v>
                </c:pt>
                <c:pt idx="47">
                  <c:v>1.1989739234770858E-2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0186-476F-8CFA-8E0E60416979}"/>
            </c:ext>
          </c:extLst>
        </c:ser>
        <c:ser>
          <c:idx val="38"/>
          <c:order val="38"/>
          <c:tx>
            <c:strRef>
              <c:f>'Moody-Diagramm'!$T$3</c:f>
              <c:strCache>
                <c:ptCount val="1"/>
                <c:pt idx="0">
                  <c:v>5,0E-05</c:v>
                </c:pt>
              </c:strCache>
            </c:strRef>
          </c:tx>
          <c:spPr>
            <a:ln w="15875">
              <a:solidFill>
                <a:schemeClr val="tx2">
                  <a:lumMod val="75000"/>
                  <a:lumOff val="2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'Moody-Diagramm'!$C$4:$C$51</c:f>
              <c:numCache>
                <c:formatCode>0.0E+00</c:formatCode>
                <c:ptCount val="48"/>
                <c:pt idx="0">
                  <c:v>1000</c:v>
                </c:pt>
                <c:pt idx="1">
                  <c:v>1300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13000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60000</c:v>
                </c:pt>
                <c:pt idx="17">
                  <c:v>70000</c:v>
                </c:pt>
                <c:pt idx="18">
                  <c:v>80000</c:v>
                </c:pt>
                <c:pt idx="19">
                  <c:v>90000</c:v>
                </c:pt>
                <c:pt idx="20">
                  <c:v>100000</c:v>
                </c:pt>
                <c:pt idx="21">
                  <c:v>200000</c:v>
                </c:pt>
                <c:pt idx="22">
                  <c:v>300000</c:v>
                </c:pt>
                <c:pt idx="23">
                  <c:v>400000</c:v>
                </c:pt>
                <c:pt idx="24">
                  <c:v>500000</c:v>
                </c:pt>
                <c:pt idx="25">
                  <c:v>600000</c:v>
                </c:pt>
                <c:pt idx="26">
                  <c:v>700000</c:v>
                </c:pt>
                <c:pt idx="27">
                  <c:v>800000</c:v>
                </c:pt>
                <c:pt idx="28">
                  <c:v>900000</c:v>
                </c:pt>
                <c:pt idx="29">
                  <c:v>1000000</c:v>
                </c:pt>
                <c:pt idx="30">
                  <c:v>2000000</c:v>
                </c:pt>
                <c:pt idx="31">
                  <c:v>3000000</c:v>
                </c:pt>
                <c:pt idx="32">
                  <c:v>4000000</c:v>
                </c:pt>
                <c:pt idx="33">
                  <c:v>5000000</c:v>
                </c:pt>
                <c:pt idx="34">
                  <c:v>6000000</c:v>
                </c:pt>
                <c:pt idx="35">
                  <c:v>7000000</c:v>
                </c:pt>
                <c:pt idx="36">
                  <c:v>8000000</c:v>
                </c:pt>
                <c:pt idx="37">
                  <c:v>9000000</c:v>
                </c:pt>
                <c:pt idx="38">
                  <c:v>10000000</c:v>
                </c:pt>
                <c:pt idx="39">
                  <c:v>20000000</c:v>
                </c:pt>
                <c:pt idx="40">
                  <c:v>30000000</c:v>
                </c:pt>
                <c:pt idx="41">
                  <c:v>40000000</c:v>
                </c:pt>
                <c:pt idx="42">
                  <c:v>50000000</c:v>
                </c:pt>
                <c:pt idx="43">
                  <c:v>60000000</c:v>
                </c:pt>
                <c:pt idx="44">
                  <c:v>70000000</c:v>
                </c:pt>
                <c:pt idx="45">
                  <c:v>80000000</c:v>
                </c:pt>
                <c:pt idx="46">
                  <c:v>90000000</c:v>
                </c:pt>
                <c:pt idx="47">
                  <c:v>100000000</c:v>
                </c:pt>
              </c:numCache>
            </c:numRef>
          </c:xVal>
          <c:yVal>
            <c:numRef>
              <c:f>'Moody-Diagramm'!$T$4:$T$51</c:f>
              <c:numCache>
                <c:formatCode>0.00000</c:formatCode>
                <c:ptCount val="48"/>
                <c:pt idx="0">
                  <c:v>6.2677647258375102E-2</c:v>
                </c:pt>
                <c:pt idx="1">
                  <c:v>5.7177198184096806E-2</c:v>
                </c:pt>
                <c:pt idx="2">
                  <c:v>4.9531187543121365E-2</c:v>
                </c:pt>
                <c:pt idx="3">
                  <c:v>4.3598926951774981E-2</c:v>
                </c:pt>
                <c:pt idx="4">
                  <c:v>3.9988424479913777E-2</c:v>
                </c:pt>
                <c:pt idx="5">
                  <c:v>3.7476564049152707E-2</c:v>
                </c:pt>
                <c:pt idx="6">
                  <c:v>3.5589635412401732E-2</c:v>
                </c:pt>
                <c:pt idx="7">
                  <c:v>3.409956347979768E-2</c:v>
                </c:pt>
                <c:pt idx="8">
                  <c:v>3.2880808181579041E-2</c:v>
                </c:pt>
                <c:pt idx="9">
                  <c:v>3.1857643818241986E-2</c:v>
                </c:pt>
                <c:pt idx="10">
                  <c:v>3.0981235267560737E-2</c:v>
                </c:pt>
                <c:pt idx="11">
                  <c:v>2.8946327045222021E-2</c:v>
                </c:pt>
                <c:pt idx="12">
                  <c:v>2.6008685032511285E-2</c:v>
                </c:pt>
                <c:pt idx="13">
                  <c:v>2.3632504103217374E-2</c:v>
                </c:pt>
                <c:pt idx="14">
                  <c:v>2.2141105286992143E-2</c:v>
                </c:pt>
                <c:pt idx="15">
                  <c:v>2.1082416942082037E-2</c:v>
                </c:pt>
                <c:pt idx="16">
                  <c:v>2.0275583065608546E-2</c:v>
                </c:pt>
                <c:pt idx="17">
                  <c:v>1.9631498179537105E-2</c:v>
                </c:pt>
                <c:pt idx="18">
                  <c:v>1.9100235638216313E-2</c:v>
                </c:pt>
                <c:pt idx="19">
                  <c:v>1.8651242851494547E-2</c:v>
                </c:pt>
                <c:pt idx="20">
                  <c:v>1.8264577940782661E-2</c:v>
                </c:pt>
                <c:pt idx="21">
                  <c:v>1.6041956567367722E-2</c:v>
                </c:pt>
                <c:pt idx="22">
                  <c:v>1.4973272000117624E-2</c:v>
                </c:pt>
                <c:pt idx="23">
                  <c:v>1.4307655190196968E-2</c:v>
                </c:pt>
                <c:pt idx="24">
                  <c:v>1.3841086551250143E-2</c:v>
                </c:pt>
                <c:pt idx="25">
                  <c:v>1.3490745392594931E-2</c:v>
                </c:pt>
                <c:pt idx="26">
                  <c:v>1.3215474601880816E-2</c:v>
                </c:pt>
                <c:pt idx="27">
                  <c:v>1.2992095884315711E-2</c:v>
                </c:pt>
                <c:pt idx="28">
                  <c:v>1.2806386468817753E-2</c:v>
                </c:pt>
                <c:pt idx="29">
                  <c:v>1.2649053469392192E-2</c:v>
                </c:pt>
                <c:pt idx="30">
                  <c:v>1.1807511069896727E-2</c:v>
                </c:pt>
                <c:pt idx="31">
                  <c:v>1.145481051411917E-2</c:v>
                </c:pt>
                <c:pt idx="32">
                  <c:v>1.1257467460253927E-2</c:v>
                </c:pt>
                <c:pt idx="33">
                  <c:v>1.1130645710627336E-2</c:v>
                </c:pt>
                <c:pt idx="34">
                  <c:v>1.1042057499814557E-2</c:v>
                </c:pt>
                <c:pt idx="35">
                  <c:v>1.0976596677871904E-2</c:v>
                </c:pt>
                <c:pt idx="36">
                  <c:v>1.0926216977382055E-2</c:v>
                </c:pt>
                <c:pt idx="37">
                  <c:v>1.0886228017101526E-2</c:v>
                </c:pt>
                <c:pt idx="38">
                  <c:v>1.0853706773695286E-2</c:v>
                </c:pt>
                <c:pt idx="39">
                  <c:v>1.0701029513602025E-2</c:v>
                </c:pt>
                <c:pt idx="40">
                  <c:v>1.0647621172672745E-2</c:v>
                </c:pt>
                <c:pt idx="41">
                  <c:v>1.0620401812072853E-2</c:v>
                </c:pt>
                <c:pt idx="42">
                  <c:v>1.0603899109559009E-2</c:v>
                </c:pt>
                <c:pt idx="43">
                  <c:v>1.059282450815797E-2</c:v>
                </c:pt>
                <c:pt idx="44">
                  <c:v>1.0584877931040565E-2</c:v>
                </c:pt>
                <c:pt idx="45">
                  <c:v>1.0578898038620457E-2</c:v>
                </c:pt>
                <c:pt idx="46">
                  <c:v>1.0574235098115356E-2</c:v>
                </c:pt>
                <c:pt idx="47">
                  <c:v>1.0570497198660354E-2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0186-476F-8CFA-8E0E60416979}"/>
            </c:ext>
          </c:extLst>
        </c:ser>
        <c:ser>
          <c:idx val="39"/>
          <c:order val="39"/>
          <c:tx>
            <c:strRef>
              <c:f>'Moody-Diagramm'!$V$2</c:f>
              <c:strCache>
                <c:ptCount val="1"/>
                <c:pt idx="0">
                  <c:v>λ nach ①</c:v>
                </c:pt>
              </c:strCache>
            </c:strRef>
          </c:tx>
          <c:spPr>
            <a:ln w="25400">
              <a:solidFill>
                <a:schemeClr val="accent2"/>
              </a:solidFill>
              <a:prstDash val="sysDash"/>
            </a:ln>
          </c:spPr>
          <c:marker>
            <c:symbol val="none"/>
          </c:marker>
          <c:xVal>
            <c:numRef>
              <c:f>'Moody-Diagramm'!$C$4:$C$51</c:f>
              <c:numCache>
                <c:formatCode>0.0E+00</c:formatCode>
                <c:ptCount val="48"/>
                <c:pt idx="0">
                  <c:v>1000</c:v>
                </c:pt>
                <c:pt idx="1">
                  <c:v>1300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13000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60000</c:v>
                </c:pt>
                <c:pt idx="17">
                  <c:v>70000</c:v>
                </c:pt>
                <c:pt idx="18">
                  <c:v>80000</c:v>
                </c:pt>
                <c:pt idx="19">
                  <c:v>90000</c:v>
                </c:pt>
                <c:pt idx="20">
                  <c:v>100000</c:v>
                </c:pt>
                <c:pt idx="21">
                  <c:v>200000</c:v>
                </c:pt>
                <c:pt idx="22">
                  <c:v>300000</c:v>
                </c:pt>
                <c:pt idx="23">
                  <c:v>400000</c:v>
                </c:pt>
                <c:pt idx="24">
                  <c:v>500000</c:v>
                </c:pt>
                <c:pt idx="25">
                  <c:v>600000</c:v>
                </c:pt>
                <c:pt idx="26">
                  <c:v>700000</c:v>
                </c:pt>
                <c:pt idx="27">
                  <c:v>800000</c:v>
                </c:pt>
                <c:pt idx="28">
                  <c:v>900000</c:v>
                </c:pt>
                <c:pt idx="29">
                  <c:v>1000000</c:v>
                </c:pt>
                <c:pt idx="30">
                  <c:v>2000000</c:v>
                </c:pt>
                <c:pt idx="31">
                  <c:v>3000000</c:v>
                </c:pt>
                <c:pt idx="32">
                  <c:v>4000000</c:v>
                </c:pt>
                <c:pt idx="33">
                  <c:v>5000000</c:v>
                </c:pt>
                <c:pt idx="34">
                  <c:v>6000000</c:v>
                </c:pt>
                <c:pt idx="35">
                  <c:v>7000000</c:v>
                </c:pt>
                <c:pt idx="36">
                  <c:v>8000000</c:v>
                </c:pt>
                <c:pt idx="37">
                  <c:v>9000000</c:v>
                </c:pt>
                <c:pt idx="38">
                  <c:v>10000000</c:v>
                </c:pt>
                <c:pt idx="39">
                  <c:v>20000000</c:v>
                </c:pt>
                <c:pt idx="40">
                  <c:v>30000000</c:v>
                </c:pt>
                <c:pt idx="41">
                  <c:v>40000000</c:v>
                </c:pt>
                <c:pt idx="42">
                  <c:v>50000000</c:v>
                </c:pt>
                <c:pt idx="43">
                  <c:v>60000000</c:v>
                </c:pt>
                <c:pt idx="44">
                  <c:v>70000000</c:v>
                </c:pt>
                <c:pt idx="45">
                  <c:v>80000000</c:v>
                </c:pt>
                <c:pt idx="46">
                  <c:v>90000000</c:v>
                </c:pt>
                <c:pt idx="47">
                  <c:v>100000000</c:v>
                </c:pt>
              </c:numCache>
            </c:numRef>
          </c:xVal>
          <c:yVal>
            <c:numRef>
              <c:f>'Moody-Diagramm'!$V$4:$V$51</c:f>
              <c:numCache>
                <c:formatCode>0.0E+00</c:formatCode>
                <c:ptCount val="48"/>
                <c:pt idx="0">
                  <c:v>6.4000000000000001E-2</c:v>
                </c:pt>
                <c:pt idx="1">
                  <c:v>4.9230769230769231E-2</c:v>
                </c:pt>
                <c:pt idx="2">
                  <c:v>3.2000000000000001E-2</c:v>
                </c:pt>
                <c:pt idx="3">
                  <c:v>2.1333333333333333E-2</c:v>
                </c:pt>
                <c:pt idx="4">
                  <c:v>1.6E-2</c:v>
                </c:pt>
                <c:pt idx="5">
                  <c:v>1.2800000000000001E-2</c:v>
                </c:pt>
                <c:pt idx="6">
                  <c:v>1.0666666666666666E-2</c:v>
                </c:pt>
                <c:pt idx="7">
                  <c:v>9.1428571428571435E-3</c:v>
                </c:pt>
                <c:pt idx="8">
                  <c:v>8.0000000000000002E-3</c:v>
                </c:pt>
                <c:pt idx="9">
                  <c:v>7.1111111111111115E-3</c:v>
                </c:pt>
                <c:pt idx="10">
                  <c:v>6.4000000000000003E-3</c:v>
                </c:pt>
                <c:pt idx="11">
                  <c:v>4.9230769230769232E-3</c:v>
                </c:pt>
                <c:pt idx="12">
                  <c:v>3.2000000000000002E-3</c:v>
                </c:pt>
                <c:pt idx="13">
                  <c:v>2.1333333333333334E-3</c:v>
                </c:pt>
                <c:pt idx="14">
                  <c:v>1.6000000000000001E-3</c:v>
                </c:pt>
                <c:pt idx="15">
                  <c:v>1.2800000000000001E-3</c:v>
                </c:pt>
                <c:pt idx="16">
                  <c:v>1.0666666666666667E-3</c:v>
                </c:pt>
                <c:pt idx="17">
                  <c:v>9.1428571428571427E-4</c:v>
                </c:pt>
                <c:pt idx="18">
                  <c:v>8.0000000000000004E-4</c:v>
                </c:pt>
                <c:pt idx="19">
                  <c:v>7.1111111111111115E-4</c:v>
                </c:pt>
                <c:pt idx="20">
                  <c:v>6.4000000000000005E-4</c:v>
                </c:pt>
                <c:pt idx="21">
                  <c:v>3.2000000000000003E-4</c:v>
                </c:pt>
                <c:pt idx="22">
                  <c:v>2.1333333333333333E-4</c:v>
                </c:pt>
                <c:pt idx="23">
                  <c:v>1.6000000000000001E-4</c:v>
                </c:pt>
                <c:pt idx="24">
                  <c:v>1.2799999999999999E-4</c:v>
                </c:pt>
                <c:pt idx="25">
                  <c:v>1.0666666666666667E-4</c:v>
                </c:pt>
                <c:pt idx="26">
                  <c:v>9.1428571428571432E-5</c:v>
                </c:pt>
                <c:pt idx="27">
                  <c:v>8.0000000000000007E-5</c:v>
                </c:pt>
                <c:pt idx="28">
                  <c:v>7.1111111111111106E-5</c:v>
                </c:pt>
                <c:pt idx="29">
                  <c:v>6.3999999999999997E-5</c:v>
                </c:pt>
                <c:pt idx="30">
                  <c:v>3.1999999999999999E-5</c:v>
                </c:pt>
                <c:pt idx="31">
                  <c:v>2.1333333333333335E-5</c:v>
                </c:pt>
                <c:pt idx="32">
                  <c:v>1.5999999999999999E-5</c:v>
                </c:pt>
                <c:pt idx="33">
                  <c:v>1.2799999999999999E-5</c:v>
                </c:pt>
                <c:pt idx="34">
                  <c:v>1.0666666666666667E-5</c:v>
                </c:pt>
                <c:pt idx="35">
                  <c:v>9.1428571428571422E-6</c:v>
                </c:pt>
                <c:pt idx="36">
                  <c:v>7.9999999999999996E-6</c:v>
                </c:pt>
                <c:pt idx="37">
                  <c:v>7.111111111111111E-6</c:v>
                </c:pt>
                <c:pt idx="38">
                  <c:v>6.3999999999999997E-6</c:v>
                </c:pt>
                <c:pt idx="39">
                  <c:v>3.1999999999999999E-6</c:v>
                </c:pt>
                <c:pt idx="40">
                  <c:v>2.1333333333333334E-6</c:v>
                </c:pt>
                <c:pt idx="41">
                  <c:v>1.5999999999999999E-6</c:v>
                </c:pt>
                <c:pt idx="42">
                  <c:v>1.28E-6</c:v>
                </c:pt>
                <c:pt idx="43">
                  <c:v>1.0666666666666667E-6</c:v>
                </c:pt>
                <c:pt idx="44">
                  <c:v>9.142857142857143E-7</c:v>
                </c:pt>
                <c:pt idx="45">
                  <c:v>7.9999999999999996E-7</c:v>
                </c:pt>
                <c:pt idx="46">
                  <c:v>7.1111111111111116E-7</c:v>
                </c:pt>
                <c:pt idx="47">
                  <c:v>6.4000000000000001E-7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0186-476F-8CFA-8E0E60416979}"/>
            </c:ext>
          </c:extLst>
        </c:ser>
        <c:ser>
          <c:idx val="40"/>
          <c:order val="40"/>
          <c:tx>
            <c:strRef>
              <c:f>'Moody-Diagramm'!$W$2:$W$3</c:f>
              <c:strCache>
                <c:ptCount val="1"/>
                <c:pt idx="0">
                  <c:v>λ nach ②</c:v>
                </c:pt>
              </c:strCache>
            </c:strRef>
          </c:tx>
          <c:spPr>
            <a:ln w="25400">
              <a:solidFill>
                <a:schemeClr val="accent2"/>
              </a:solidFill>
              <a:prstDash val="sysDash"/>
            </a:ln>
          </c:spPr>
          <c:marker>
            <c:symbol val="none"/>
          </c:marker>
          <c:xVal>
            <c:numRef>
              <c:f>'Moody-Diagramm'!$C$4:$C$51</c:f>
              <c:numCache>
                <c:formatCode>0.0E+00</c:formatCode>
                <c:ptCount val="48"/>
                <c:pt idx="0">
                  <c:v>1000</c:v>
                </c:pt>
                <c:pt idx="1">
                  <c:v>1300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13000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60000</c:v>
                </c:pt>
                <c:pt idx="17">
                  <c:v>70000</c:v>
                </c:pt>
                <c:pt idx="18">
                  <c:v>80000</c:v>
                </c:pt>
                <c:pt idx="19">
                  <c:v>90000</c:v>
                </c:pt>
                <c:pt idx="20">
                  <c:v>100000</c:v>
                </c:pt>
                <c:pt idx="21">
                  <c:v>200000</c:v>
                </c:pt>
                <c:pt idx="22">
                  <c:v>300000</c:v>
                </c:pt>
                <c:pt idx="23">
                  <c:v>400000</c:v>
                </c:pt>
                <c:pt idx="24">
                  <c:v>500000</c:v>
                </c:pt>
                <c:pt idx="25">
                  <c:v>600000</c:v>
                </c:pt>
                <c:pt idx="26">
                  <c:v>700000</c:v>
                </c:pt>
                <c:pt idx="27">
                  <c:v>800000</c:v>
                </c:pt>
                <c:pt idx="28">
                  <c:v>900000</c:v>
                </c:pt>
                <c:pt idx="29">
                  <c:v>1000000</c:v>
                </c:pt>
                <c:pt idx="30">
                  <c:v>2000000</c:v>
                </c:pt>
                <c:pt idx="31">
                  <c:v>3000000</c:v>
                </c:pt>
                <c:pt idx="32">
                  <c:v>4000000</c:v>
                </c:pt>
                <c:pt idx="33">
                  <c:v>5000000</c:v>
                </c:pt>
                <c:pt idx="34">
                  <c:v>6000000</c:v>
                </c:pt>
                <c:pt idx="35">
                  <c:v>7000000</c:v>
                </c:pt>
                <c:pt idx="36">
                  <c:v>8000000</c:v>
                </c:pt>
                <c:pt idx="37">
                  <c:v>9000000</c:v>
                </c:pt>
                <c:pt idx="38">
                  <c:v>10000000</c:v>
                </c:pt>
                <c:pt idx="39">
                  <c:v>20000000</c:v>
                </c:pt>
                <c:pt idx="40">
                  <c:v>30000000</c:v>
                </c:pt>
                <c:pt idx="41">
                  <c:v>40000000</c:v>
                </c:pt>
                <c:pt idx="42">
                  <c:v>50000000</c:v>
                </c:pt>
                <c:pt idx="43">
                  <c:v>60000000</c:v>
                </c:pt>
                <c:pt idx="44">
                  <c:v>70000000</c:v>
                </c:pt>
                <c:pt idx="45">
                  <c:v>80000000</c:v>
                </c:pt>
                <c:pt idx="46">
                  <c:v>90000000</c:v>
                </c:pt>
                <c:pt idx="47">
                  <c:v>100000000</c:v>
                </c:pt>
              </c:numCache>
            </c:numRef>
          </c:xVal>
          <c:yVal>
            <c:numRef>
              <c:f>'Moody-Diagramm'!$W$4:$W$51</c:f>
              <c:numCache>
                <c:formatCode>0.0E+00</c:formatCode>
                <c:ptCount val="48"/>
                <c:pt idx="0">
                  <c:v>5.6264760533631525E-2</c:v>
                </c:pt>
                <c:pt idx="1">
                  <c:v>5.2692722341848887E-2</c:v>
                </c:pt>
                <c:pt idx="2">
                  <c:v>4.7312835437839422E-2</c:v>
                </c:pt>
                <c:pt idx="3">
                  <c:v>4.2751972898094577E-2</c:v>
                </c:pt>
                <c:pt idx="4">
                  <c:v>3.9785193715168081E-2</c:v>
                </c:pt>
                <c:pt idx="5">
                  <c:v>3.7626513118686089E-2</c:v>
                </c:pt>
                <c:pt idx="6">
                  <c:v>3.5949980755031689E-2</c:v>
                </c:pt>
                <c:pt idx="7">
                  <c:v>3.4590908204716518E-2</c:v>
                </c:pt>
                <c:pt idx="8">
                  <c:v>3.3455226775259451E-2</c:v>
                </c:pt>
                <c:pt idx="9">
                  <c:v>3.2484474639981983E-2</c:v>
                </c:pt>
                <c:pt idx="10">
                  <c:v>3.1639999999999995E-2</c:v>
                </c:pt>
                <c:pt idx="11">
                  <c:v>2.9631295309602422E-2</c:v>
                </c:pt>
                <c:pt idx="12">
                  <c:v>2.6605962578627535E-2</c:v>
                </c:pt>
                <c:pt idx="13">
                  <c:v>2.4041201094016387E-2</c:v>
                </c:pt>
                <c:pt idx="14">
                  <c:v>2.237285855674237E-2</c:v>
                </c:pt>
                <c:pt idx="15">
                  <c:v>2.1158943249453992E-2</c:v>
                </c:pt>
                <c:pt idx="16">
                  <c:v>2.0216159818352061E-2</c:v>
                </c:pt>
                <c:pt idx="17">
                  <c:v>1.9451897159378007E-2</c:v>
                </c:pt>
                <c:pt idx="18">
                  <c:v>1.8813256559343048E-2</c:v>
                </c:pt>
                <c:pt idx="19">
                  <c:v>1.8267362517159762E-2</c:v>
                </c:pt>
                <c:pt idx="20">
                  <c:v>1.7792479529022645E-2</c:v>
                </c:pt>
                <c:pt idx="21">
                  <c:v>1.4961632254430242E-2</c:v>
                </c:pt>
                <c:pt idx="22">
                  <c:v>1.3519360882376846E-2</c:v>
                </c:pt>
                <c:pt idx="23">
                  <c:v>1.258118292909474E-2</c:v>
                </c:pt>
                <c:pt idx="24">
                  <c:v>1.1898548186525351E-2</c:v>
                </c:pt>
                <c:pt idx="25">
                  <c:v>1.1368382102511987E-2</c:v>
                </c:pt>
                <c:pt idx="26">
                  <c:v>1.0938605626071013E-2</c:v>
                </c:pt>
                <c:pt idx="27">
                  <c:v>1.0579471624726996E-2</c:v>
                </c:pt>
                <c:pt idx="28">
                  <c:v>1.0272492845632128E-2</c:v>
                </c:pt>
                <c:pt idx="29">
                  <c:v>1.0005446516772754E-2</c:v>
                </c:pt>
                <c:pt idx="30">
                  <c:v>8.4135441089669728E-3</c:v>
                </c:pt>
                <c:pt idx="31">
                  <c:v>7.6024953143223615E-3</c:v>
                </c:pt>
                <c:pt idx="32">
                  <c:v>7.0749190808093356E-3</c:v>
                </c:pt>
                <c:pt idx="33">
                  <c:v>6.6910453550518894E-3</c:v>
                </c:pt>
                <c:pt idx="34">
                  <c:v>6.3929110567968357E-3</c:v>
                </c:pt>
                <c:pt idx="35">
                  <c:v>6.1512299834993829E-3</c:v>
                </c:pt>
                <c:pt idx="36">
                  <c:v>5.9492740932626754E-3</c:v>
                </c:pt>
                <c:pt idx="37">
                  <c:v>5.7766472398211545E-3</c:v>
                </c:pt>
                <c:pt idx="38">
                  <c:v>5.6264760533631516E-3</c:v>
                </c:pt>
                <c:pt idx="39">
                  <c:v>4.7312835437839434E-3</c:v>
                </c:pt>
                <c:pt idx="40">
                  <c:v>4.2751972898094591E-3</c:v>
                </c:pt>
                <c:pt idx="41">
                  <c:v>3.9785193715168076E-3</c:v>
                </c:pt>
                <c:pt idx="42">
                  <c:v>3.76265131186861E-3</c:v>
                </c:pt>
                <c:pt idx="43">
                  <c:v>3.5949980755031682E-3</c:v>
                </c:pt>
                <c:pt idx="44">
                  <c:v>3.4590908204716526E-3</c:v>
                </c:pt>
                <c:pt idx="45">
                  <c:v>3.3455226775259456E-3</c:v>
                </c:pt>
                <c:pt idx="46">
                  <c:v>3.248447463998199E-3</c:v>
                </c:pt>
                <c:pt idx="47">
                  <c:v>3.1639999999999988E-3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0186-476F-8CFA-8E0E60416979}"/>
            </c:ext>
          </c:extLst>
        </c:ser>
        <c:ser>
          <c:idx val="41"/>
          <c:order val="41"/>
          <c:tx>
            <c:strRef>
              <c:f>'Moody-Diagramm'!$X$2:$X$3</c:f>
              <c:strCache>
                <c:ptCount val="1"/>
                <c:pt idx="0">
                  <c:v>λ nach ③</c:v>
                </c:pt>
              </c:strCache>
            </c:strRef>
          </c:tx>
          <c:spPr>
            <a:ln w="25400">
              <a:solidFill>
                <a:schemeClr val="accent5"/>
              </a:solidFill>
              <a:prstDash val="sysDash"/>
            </a:ln>
          </c:spPr>
          <c:marker>
            <c:symbol val="none"/>
          </c:marker>
          <c:xVal>
            <c:numRef>
              <c:f>'Moody-Diagramm'!$C$4:$C$51</c:f>
              <c:numCache>
                <c:formatCode>0.0E+00</c:formatCode>
                <c:ptCount val="48"/>
                <c:pt idx="0">
                  <c:v>1000</c:v>
                </c:pt>
                <c:pt idx="1">
                  <c:v>1300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13000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60000</c:v>
                </c:pt>
                <c:pt idx="17">
                  <c:v>70000</c:v>
                </c:pt>
                <c:pt idx="18">
                  <c:v>80000</c:v>
                </c:pt>
                <c:pt idx="19">
                  <c:v>90000</c:v>
                </c:pt>
                <c:pt idx="20">
                  <c:v>100000</c:v>
                </c:pt>
                <c:pt idx="21">
                  <c:v>200000</c:v>
                </c:pt>
                <c:pt idx="22">
                  <c:v>300000</c:v>
                </c:pt>
                <c:pt idx="23">
                  <c:v>400000</c:v>
                </c:pt>
                <c:pt idx="24">
                  <c:v>500000</c:v>
                </c:pt>
                <c:pt idx="25">
                  <c:v>600000</c:v>
                </c:pt>
                <c:pt idx="26">
                  <c:v>700000</c:v>
                </c:pt>
                <c:pt idx="27">
                  <c:v>800000</c:v>
                </c:pt>
                <c:pt idx="28">
                  <c:v>900000</c:v>
                </c:pt>
                <c:pt idx="29">
                  <c:v>1000000</c:v>
                </c:pt>
                <c:pt idx="30">
                  <c:v>2000000</c:v>
                </c:pt>
                <c:pt idx="31">
                  <c:v>3000000</c:v>
                </c:pt>
                <c:pt idx="32">
                  <c:v>4000000</c:v>
                </c:pt>
                <c:pt idx="33">
                  <c:v>5000000</c:v>
                </c:pt>
                <c:pt idx="34">
                  <c:v>6000000</c:v>
                </c:pt>
                <c:pt idx="35">
                  <c:v>7000000</c:v>
                </c:pt>
                <c:pt idx="36">
                  <c:v>8000000</c:v>
                </c:pt>
                <c:pt idx="37">
                  <c:v>9000000</c:v>
                </c:pt>
                <c:pt idx="38">
                  <c:v>10000000</c:v>
                </c:pt>
                <c:pt idx="39">
                  <c:v>20000000</c:v>
                </c:pt>
                <c:pt idx="40">
                  <c:v>30000000</c:v>
                </c:pt>
                <c:pt idx="41">
                  <c:v>40000000</c:v>
                </c:pt>
                <c:pt idx="42">
                  <c:v>50000000</c:v>
                </c:pt>
                <c:pt idx="43">
                  <c:v>60000000</c:v>
                </c:pt>
                <c:pt idx="44">
                  <c:v>70000000</c:v>
                </c:pt>
                <c:pt idx="45">
                  <c:v>80000000</c:v>
                </c:pt>
                <c:pt idx="46">
                  <c:v>90000000</c:v>
                </c:pt>
                <c:pt idx="47">
                  <c:v>100000000</c:v>
                </c:pt>
              </c:numCache>
            </c:numRef>
          </c:xVal>
          <c:yVal>
            <c:numRef>
              <c:f>'Moody-Diagramm'!$X$4:$X$51</c:f>
              <c:numCache>
                <c:formatCode>0.0E+00</c:formatCode>
                <c:ptCount val="48"/>
                <c:pt idx="0">
                  <c:v>6.2605906105282036E-2</c:v>
                </c:pt>
                <c:pt idx="1">
                  <c:v>5.7107841051905792E-2</c:v>
                </c:pt>
                <c:pt idx="2">
                  <c:v>4.9463111962455501E-2</c:v>
                </c:pt>
                <c:pt idx="3">
                  <c:v>4.3529221472605892E-2</c:v>
                </c:pt>
                <c:pt idx="4">
                  <c:v>3.9915881576132281E-2</c:v>
                </c:pt>
                <c:pt idx="5">
                  <c:v>3.7400808630848444E-2</c:v>
                </c:pt>
                <c:pt idx="6">
                  <c:v>3.5510556422015893E-2</c:v>
                </c:pt>
                <c:pt idx="7">
                  <c:v>3.4017151937771432E-2</c:v>
                </c:pt>
                <c:pt idx="8">
                  <c:v>3.2795098473635674E-2</c:v>
                </c:pt>
                <c:pt idx="9">
                  <c:v>3.176868913814751E-2</c:v>
                </c:pt>
                <c:pt idx="10">
                  <c:v>3.088909637688346E-2</c:v>
                </c:pt>
                <c:pt idx="11">
                  <c:v>2.8845009306742719E-2</c:v>
                </c:pt>
                <c:pt idx="12">
                  <c:v>2.5887847501030233E-2</c:v>
                </c:pt>
                <c:pt idx="13">
                  <c:v>2.34870999622806E-2</c:v>
                </c:pt>
                <c:pt idx="14">
                  <c:v>2.1973751621352584E-2</c:v>
                </c:pt>
                <c:pt idx="15">
                  <c:v>2.0894945325178688E-2</c:v>
                </c:pt>
                <c:pt idx="16">
                  <c:v>2.0069371927927696E-2</c:v>
                </c:pt>
                <c:pt idx="17">
                  <c:v>1.9407637513105133E-2</c:v>
                </c:pt>
                <c:pt idx="18">
                  <c:v>1.8859618334857959E-2</c:v>
                </c:pt>
                <c:pt idx="19">
                  <c:v>1.8394619881295086E-2</c:v>
                </c:pt>
                <c:pt idx="20">
                  <c:v>1.7992593917693426E-2</c:v>
                </c:pt>
                <c:pt idx="21">
                  <c:v>1.5639527259958139E-2</c:v>
                </c:pt>
                <c:pt idx="22">
                  <c:v>1.4465088050258932E-2</c:v>
                </c:pt>
                <c:pt idx="23">
                  <c:v>1.3707968287814679E-2</c:v>
                </c:pt>
                <c:pt idx="24">
                  <c:v>1.3159738192800186E-2</c:v>
                </c:pt>
                <c:pt idx="25">
                  <c:v>1.273516100458346E-2</c:v>
                </c:pt>
                <c:pt idx="26">
                  <c:v>1.2391561975333771E-2</c:v>
                </c:pt>
                <c:pt idx="27">
                  <c:v>1.2104724338628466E-2</c:v>
                </c:pt>
                <c:pt idx="28">
                  <c:v>1.1859671758270622E-2</c:v>
                </c:pt>
                <c:pt idx="29">
                  <c:v>1.1646540648628145E-2</c:v>
                </c:pt>
                <c:pt idx="30">
                  <c:v>1.0374156894360919E-2</c:v>
                </c:pt>
                <c:pt idx="31">
                  <c:v>9.7219449724604608E-3</c:v>
                </c:pt>
                <c:pt idx="32">
                  <c:v>9.294894488849537E-3</c:v>
                </c:pt>
                <c:pt idx="33">
                  <c:v>8.9822662202306523E-3</c:v>
                </c:pt>
                <c:pt idx="34">
                  <c:v>8.738110719176866E-3</c:v>
                </c:pt>
                <c:pt idx="35">
                  <c:v>8.539178081247845E-3</c:v>
                </c:pt>
                <c:pt idx="36">
                  <c:v>8.3721642545762625E-3</c:v>
                </c:pt>
                <c:pt idx="37">
                  <c:v>8.2287850027239953E-3</c:v>
                </c:pt>
                <c:pt idx="38">
                  <c:v>8.103552371798212E-3</c:v>
                </c:pt>
                <c:pt idx="39">
                  <c:v>7.3451810760258489E-3</c:v>
                </c:pt>
                <c:pt idx="40">
                  <c:v>6.9488931726120039E-3</c:v>
                </c:pt>
                <c:pt idx="41">
                  <c:v>6.6864513502529728E-3</c:v>
                </c:pt>
                <c:pt idx="42">
                  <c:v>6.4927772668923849E-3</c:v>
                </c:pt>
                <c:pt idx="43">
                  <c:v>6.3405828985604283E-3</c:v>
                </c:pt>
                <c:pt idx="44">
                  <c:v>6.2159542708891489E-3</c:v>
                </c:pt>
                <c:pt idx="45">
                  <c:v>6.1108810240221058E-3</c:v>
                </c:pt>
                <c:pt idx="46">
                  <c:v>6.0203501293240626E-3</c:v>
                </c:pt>
                <c:pt idx="47">
                  <c:v>5.9410264533681966E-3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0186-476F-8CFA-8E0E60416979}"/>
            </c:ext>
          </c:extLst>
        </c:ser>
        <c:ser>
          <c:idx val="42"/>
          <c:order val="42"/>
          <c:tx>
            <c:strRef>
              <c:f>'Moody-Diagramm'!$Z$2:$AA$2</c:f>
              <c:strCache>
                <c:ptCount val="2"/>
                <c:pt idx="0">
                  <c:v>Ende Übergang</c:v>
                </c:pt>
              </c:strCache>
            </c:strRef>
          </c:tx>
          <c:spPr>
            <a:ln w="25400">
              <a:solidFill>
                <a:schemeClr val="accent2"/>
              </a:solidFill>
              <a:prstDash val="sysDash"/>
            </a:ln>
          </c:spPr>
          <c:marker>
            <c:symbol val="none"/>
          </c:marker>
          <c:xVal>
            <c:numRef>
              <c:f>'Moody-Diagramm'!$Z$4:$Z$13</c:f>
              <c:numCache>
                <c:formatCode>0.0E+00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100000</c:v>
                </c:pt>
                <c:pt idx="4">
                  <c:v>500000</c:v>
                </c:pt>
                <c:pt idx="5">
                  <c:v>800000</c:v>
                </c:pt>
                <c:pt idx="6">
                  <c:v>1000000</c:v>
                </c:pt>
                <c:pt idx="7">
                  <c:v>3000000</c:v>
                </c:pt>
                <c:pt idx="8">
                  <c:v>10000000</c:v>
                </c:pt>
                <c:pt idx="9">
                  <c:v>54000000</c:v>
                </c:pt>
              </c:numCache>
            </c:numRef>
          </c:xVal>
          <c:yVal>
            <c:numRef>
              <c:f>'Moody-Diagramm'!$AA$4:$AA$13</c:f>
              <c:numCache>
                <c:formatCode>0.0E+00</c:formatCode>
                <c:ptCount val="10"/>
                <c:pt idx="0">
                  <c:v>8.3000000000000004E-2</c:v>
                </c:pt>
                <c:pt idx="1">
                  <c:v>6.5000000000000002E-2</c:v>
                </c:pt>
                <c:pt idx="2">
                  <c:v>5.6000000000000001E-2</c:v>
                </c:pt>
                <c:pt idx="3">
                  <c:v>3.7999999999999999E-2</c:v>
                </c:pt>
                <c:pt idx="4">
                  <c:v>2.4E-2</c:v>
                </c:pt>
                <c:pt idx="5">
                  <c:v>2.1299999999999999E-2</c:v>
                </c:pt>
                <c:pt idx="6">
                  <c:v>2.0199999999999999E-2</c:v>
                </c:pt>
                <c:pt idx="7">
                  <c:v>1.6E-2</c:v>
                </c:pt>
                <c:pt idx="8">
                  <c:v>1.2800000000000001E-2</c:v>
                </c:pt>
                <c:pt idx="9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0186-476F-8CFA-8E0E60416979}"/>
            </c:ext>
          </c:extLst>
        </c:ser>
        <c:ser>
          <c:idx val="43"/>
          <c:order val="43"/>
          <c:tx>
            <c:v>Übergang</c:v>
          </c:tx>
          <c:spPr>
            <a:ln w="25400">
              <a:solidFill>
                <a:schemeClr val="accent6"/>
              </a:solidFill>
              <a:prstDash val="sysDash"/>
            </a:ln>
          </c:spPr>
          <c:marker>
            <c:symbol val="none"/>
          </c:marker>
          <c:xVal>
            <c:numRef>
              <c:f>'Moody-Diagramm'!$Z$39:$AA$39</c:f>
              <c:numCache>
                <c:formatCode>General</c:formatCode>
                <c:ptCount val="2"/>
                <c:pt idx="0">
                  <c:v>2300</c:v>
                </c:pt>
                <c:pt idx="1">
                  <c:v>2300</c:v>
                </c:pt>
              </c:numCache>
            </c:numRef>
          </c:xVal>
          <c:yVal>
            <c:numRef>
              <c:f>'Moody-Diagramm'!$Z$40:$AA$40</c:f>
              <c:numCache>
                <c:formatCode>General</c:formatCode>
                <c:ptCount val="2"/>
                <c:pt idx="0">
                  <c:v>0.01</c:v>
                </c:pt>
                <c:pt idx="1">
                  <c:v>0.08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0186-476F-8CFA-8E0E60416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384640"/>
        <c:axId val="1456585584"/>
      </c:scatterChart>
      <c:valAx>
        <c:axId val="1433384640"/>
        <c:scaling>
          <c:logBase val="10"/>
          <c:orientation val="minMax"/>
          <c:max val="100000000"/>
          <c:min val="100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c:spPr>
        </c:minorGridlines>
        <c:numFmt formatCode="0.00E+00" sourceLinked="0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456585584"/>
        <c:crosses val="autoZero"/>
        <c:crossBetween val="midCat"/>
        <c:minorUnit val="10"/>
      </c:valAx>
      <c:valAx>
        <c:axId val="1456585584"/>
        <c:scaling>
          <c:logBase val="10"/>
          <c:orientation val="minMax"/>
          <c:max val="8.0000000000000016E-2"/>
          <c:min val="0.0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c:spPr>
        </c:minorGridlines>
        <c:numFmt formatCode="0.00" sourceLinked="0"/>
        <c:majorTickMark val="none"/>
        <c:minorTickMark val="out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433384640"/>
        <c:crosses val="autoZero"/>
        <c:crossBetween val="midCat"/>
        <c:majorUnit val="10"/>
        <c:minorUnit val="10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1</xdr:row>
      <xdr:rowOff>0</xdr:rowOff>
    </xdr:from>
    <xdr:to>
      <xdr:col>43</xdr:col>
      <xdr:colOff>0</xdr:colOff>
      <xdr:row>33</xdr:row>
      <xdr:rowOff>178512</xdr:rowOff>
    </xdr:to>
    <xdr:grpSp>
      <xdr:nvGrpSpPr>
        <xdr:cNvPr id="60" name="Gruppieren 59">
          <a:extLst>
            <a:ext uri="{FF2B5EF4-FFF2-40B4-BE49-F238E27FC236}">
              <a16:creationId xmlns:a16="http://schemas.microsoft.com/office/drawing/2014/main" id="{29E1D0F7-2F1C-9F41-FA41-E3D3A4DE68E1}"/>
            </a:ext>
          </a:extLst>
        </xdr:cNvPr>
        <xdr:cNvGrpSpPr/>
      </xdr:nvGrpSpPr>
      <xdr:grpSpPr>
        <a:xfrm>
          <a:off x="18859500" y="182880"/>
          <a:ext cx="11887200" cy="6244032"/>
          <a:chOff x="18859500" y="182880"/>
          <a:chExt cx="11887200" cy="6244032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GraphicFramePr/>
        </xdr:nvGraphicFramePr>
        <xdr:xfrm>
          <a:off x="18859500" y="182880"/>
          <a:ext cx="11887200" cy="62440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1" name="Gruppieren 10">
            <a:extLst>
              <a:ext uri="{FF2B5EF4-FFF2-40B4-BE49-F238E27FC236}">
                <a16:creationId xmlns:a16="http://schemas.microsoft.com/office/drawing/2014/main" id="{CF292F0B-ED3B-3D04-A2FE-066C3BF78B2C}"/>
              </a:ext>
            </a:extLst>
          </xdr:cNvPr>
          <xdr:cNvGrpSpPr/>
        </xdr:nvGrpSpPr>
        <xdr:grpSpPr>
          <a:xfrm>
            <a:off x="19056569" y="711854"/>
            <a:ext cx="513807" cy="5316169"/>
            <a:chOff x="19143972" y="499371"/>
            <a:chExt cx="403860" cy="6036932"/>
          </a:xfrm>
        </xdr:grpSpPr>
        <xdr:sp macro="" textlink="">
          <xdr:nvSpPr>
            <xdr:cNvPr id="3" name="Textfeld 2">
              <a:extLst>
                <a:ext uri="{FF2B5EF4-FFF2-40B4-BE49-F238E27FC236}">
                  <a16:creationId xmlns:a16="http://schemas.microsoft.com/office/drawing/2014/main" id="{C9364C4B-5DF5-EC60-1D69-0F6091803A77}"/>
                </a:ext>
              </a:extLst>
            </xdr:cNvPr>
            <xdr:cNvSpPr txBox="1"/>
          </xdr:nvSpPr>
          <xdr:spPr>
            <a:xfrm>
              <a:off x="19143972" y="6256683"/>
              <a:ext cx="403860" cy="2796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05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0,01</a:t>
              </a:r>
            </a:p>
          </xdr:txBody>
        </xdr:sp>
        <xdr:sp macro="" textlink="">
          <xdr:nvSpPr>
            <xdr:cNvPr id="4" name="Textfeld 3">
              <a:extLst>
                <a:ext uri="{FF2B5EF4-FFF2-40B4-BE49-F238E27FC236}">
                  <a16:creationId xmlns:a16="http://schemas.microsoft.com/office/drawing/2014/main" id="{3985FBCB-4D09-40DD-A606-07F4320216F8}"/>
                </a:ext>
              </a:extLst>
            </xdr:cNvPr>
            <xdr:cNvSpPr txBox="1"/>
          </xdr:nvSpPr>
          <xdr:spPr>
            <a:xfrm>
              <a:off x="19143972" y="4331709"/>
              <a:ext cx="403860" cy="2769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05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0,02</a:t>
              </a:r>
            </a:p>
          </xdr:txBody>
        </xdr:sp>
        <xdr:sp macro="" textlink="">
          <xdr:nvSpPr>
            <xdr:cNvPr id="5" name="Textfeld 4">
              <a:extLst>
                <a:ext uri="{FF2B5EF4-FFF2-40B4-BE49-F238E27FC236}">
                  <a16:creationId xmlns:a16="http://schemas.microsoft.com/office/drawing/2014/main" id="{1CE8CD71-07F3-47D3-A807-80A0EA658D3B}"/>
                </a:ext>
              </a:extLst>
            </xdr:cNvPr>
            <xdr:cNvSpPr txBox="1"/>
          </xdr:nvSpPr>
          <xdr:spPr>
            <a:xfrm>
              <a:off x="19143972" y="3214173"/>
              <a:ext cx="403860" cy="27697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05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0,03</a:t>
              </a:r>
            </a:p>
          </xdr:txBody>
        </xdr:sp>
        <xdr:sp macro="" textlink="">
          <xdr:nvSpPr>
            <xdr:cNvPr id="6" name="Textfeld 5">
              <a:extLst>
                <a:ext uri="{FF2B5EF4-FFF2-40B4-BE49-F238E27FC236}">
                  <a16:creationId xmlns:a16="http://schemas.microsoft.com/office/drawing/2014/main" id="{47E2366C-B63F-4C93-B881-7FF5E3B1FAD2}"/>
                </a:ext>
              </a:extLst>
            </xdr:cNvPr>
            <xdr:cNvSpPr txBox="1"/>
          </xdr:nvSpPr>
          <xdr:spPr>
            <a:xfrm>
              <a:off x="19143972" y="2412795"/>
              <a:ext cx="403860" cy="2796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05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0,04</a:t>
              </a:r>
            </a:p>
          </xdr:txBody>
        </xdr:sp>
        <xdr:sp macro="" textlink="">
          <xdr:nvSpPr>
            <xdr:cNvPr id="7" name="Textfeld 6">
              <a:extLst>
                <a:ext uri="{FF2B5EF4-FFF2-40B4-BE49-F238E27FC236}">
                  <a16:creationId xmlns:a16="http://schemas.microsoft.com/office/drawing/2014/main" id="{E238CD0F-0734-4EDF-AF11-AA77C9A7B406}"/>
                </a:ext>
              </a:extLst>
            </xdr:cNvPr>
            <xdr:cNvSpPr txBox="1"/>
          </xdr:nvSpPr>
          <xdr:spPr>
            <a:xfrm>
              <a:off x="19143972" y="1799598"/>
              <a:ext cx="403860" cy="2796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05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0,05</a:t>
              </a:r>
            </a:p>
          </xdr:txBody>
        </xdr:sp>
        <xdr:sp macro="" textlink="">
          <xdr:nvSpPr>
            <xdr:cNvPr id="8" name="Textfeld 7">
              <a:extLst>
                <a:ext uri="{FF2B5EF4-FFF2-40B4-BE49-F238E27FC236}">
                  <a16:creationId xmlns:a16="http://schemas.microsoft.com/office/drawing/2014/main" id="{658820D1-AF7C-44D6-820D-01983A96AF41}"/>
                </a:ext>
              </a:extLst>
            </xdr:cNvPr>
            <xdr:cNvSpPr txBox="1"/>
          </xdr:nvSpPr>
          <xdr:spPr>
            <a:xfrm>
              <a:off x="19143972" y="1290905"/>
              <a:ext cx="403860" cy="2796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05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0,06</a:t>
              </a:r>
            </a:p>
          </xdr:txBody>
        </xdr:sp>
        <xdr:sp macro="" textlink="">
          <xdr:nvSpPr>
            <xdr:cNvPr id="9" name="Textfeld 8">
              <a:extLst>
                <a:ext uri="{FF2B5EF4-FFF2-40B4-BE49-F238E27FC236}">
                  <a16:creationId xmlns:a16="http://schemas.microsoft.com/office/drawing/2014/main" id="{924043AF-512D-410D-95E9-566A7C84C64B}"/>
                </a:ext>
              </a:extLst>
            </xdr:cNvPr>
            <xdr:cNvSpPr txBox="1"/>
          </xdr:nvSpPr>
          <xdr:spPr>
            <a:xfrm>
              <a:off x="19143972" y="871948"/>
              <a:ext cx="403860" cy="2796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05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0,06</a:t>
              </a:r>
            </a:p>
          </xdr:txBody>
        </xdr:sp>
        <xdr:sp macro="" textlink="">
          <xdr:nvSpPr>
            <xdr:cNvPr id="10" name="Textfeld 9">
              <a:extLst>
                <a:ext uri="{FF2B5EF4-FFF2-40B4-BE49-F238E27FC236}">
                  <a16:creationId xmlns:a16="http://schemas.microsoft.com/office/drawing/2014/main" id="{1E7CD5F0-210A-439A-A699-12D56F9FC752}"/>
                </a:ext>
              </a:extLst>
            </xdr:cNvPr>
            <xdr:cNvSpPr txBox="1"/>
          </xdr:nvSpPr>
          <xdr:spPr>
            <a:xfrm>
              <a:off x="19143972" y="499371"/>
              <a:ext cx="403860" cy="27242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05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0,07</a:t>
              </a:r>
            </a:p>
          </xdr:txBody>
        </xdr:sp>
      </xdr:grpSp>
      <xdr:sp macro="" textlink="">
        <xdr:nvSpPr>
          <xdr:cNvPr id="12" name="Textfeld 11">
            <a:extLst>
              <a:ext uri="{FF2B5EF4-FFF2-40B4-BE49-F238E27FC236}">
                <a16:creationId xmlns:a16="http://schemas.microsoft.com/office/drawing/2014/main" id="{D099C3B9-FF34-47DC-9B4D-E77155D1B11E}"/>
              </a:ext>
            </a:extLst>
          </xdr:cNvPr>
          <xdr:cNvSpPr txBox="1"/>
        </xdr:nvSpPr>
        <xdr:spPr>
          <a:xfrm>
            <a:off x="19136036" y="5119158"/>
            <a:ext cx="432707" cy="27556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 i="1"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λ</a:t>
            </a:r>
          </a:p>
        </xdr:txBody>
      </xdr:sp>
      <xdr:grpSp>
        <xdr:nvGrpSpPr>
          <xdr:cNvPr id="20" name="Gruppieren 19">
            <a:extLst>
              <a:ext uri="{FF2B5EF4-FFF2-40B4-BE49-F238E27FC236}">
                <a16:creationId xmlns:a16="http://schemas.microsoft.com/office/drawing/2014/main" id="{95BA7022-31BA-7081-33B5-CE5502D31D8A}"/>
              </a:ext>
            </a:extLst>
          </xdr:cNvPr>
          <xdr:cNvGrpSpPr/>
        </xdr:nvGrpSpPr>
        <xdr:grpSpPr>
          <a:xfrm>
            <a:off x="19332467" y="6046165"/>
            <a:ext cx="10720814" cy="245265"/>
            <a:chOff x="19312759" y="6968356"/>
            <a:chExt cx="10514813" cy="247368"/>
          </a:xfrm>
        </xdr:grpSpPr>
        <xdr:sp macro="" textlink="">
          <xdr:nvSpPr>
            <xdr:cNvPr id="14" name="Textfeld 13">
              <a:extLst>
                <a:ext uri="{FF2B5EF4-FFF2-40B4-BE49-F238E27FC236}">
                  <a16:creationId xmlns:a16="http://schemas.microsoft.com/office/drawing/2014/main" id="{D47F6FB4-442C-456A-9F6F-126B0A0F28A2}"/>
                </a:ext>
              </a:extLst>
            </xdr:cNvPr>
            <xdr:cNvSpPr txBox="1"/>
          </xdr:nvSpPr>
          <xdr:spPr>
            <a:xfrm>
              <a:off x="19312759" y="6968356"/>
              <a:ext cx="403860" cy="24736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05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10</a:t>
              </a:r>
              <a:r>
                <a:rPr lang="de-DE" sz="1050" baseline="3000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3</a:t>
              </a:r>
            </a:p>
          </xdr:txBody>
        </xdr:sp>
        <xdr:sp macro="" textlink="">
          <xdr:nvSpPr>
            <xdr:cNvPr id="15" name="Textfeld 14">
              <a:extLst>
                <a:ext uri="{FF2B5EF4-FFF2-40B4-BE49-F238E27FC236}">
                  <a16:creationId xmlns:a16="http://schemas.microsoft.com/office/drawing/2014/main" id="{E7D91006-8C2C-4692-B9FB-2BE233D83C49}"/>
                </a:ext>
              </a:extLst>
            </xdr:cNvPr>
            <xdr:cNvSpPr txBox="1"/>
          </xdr:nvSpPr>
          <xdr:spPr>
            <a:xfrm>
              <a:off x="21334950" y="6968356"/>
              <a:ext cx="403860" cy="24736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05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10</a:t>
              </a:r>
              <a:r>
                <a:rPr lang="de-DE" sz="1050" baseline="3000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4</a:t>
              </a:r>
            </a:p>
          </xdr:txBody>
        </xdr:sp>
        <xdr:sp macro="" textlink="">
          <xdr:nvSpPr>
            <xdr:cNvPr id="16" name="Textfeld 15">
              <a:extLst>
                <a:ext uri="{FF2B5EF4-FFF2-40B4-BE49-F238E27FC236}">
                  <a16:creationId xmlns:a16="http://schemas.microsoft.com/office/drawing/2014/main" id="{F0CE751E-E938-4438-A96A-7D4434323075}"/>
                </a:ext>
              </a:extLst>
            </xdr:cNvPr>
            <xdr:cNvSpPr txBox="1"/>
          </xdr:nvSpPr>
          <xdr:spPr>
            <a:xfrm>
              <a:off x="23357141" y="6968356"/>
              <a:ext cx="403860" cy="24736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05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10</a:t>
              </a:r>
              <a:r>
                <a:rPr lang="de-DE" sz="1050" baseline="3000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5</a:t>
              </a:r>
            </a:p>
          </xdr:txBody>
        </xdr:sp>
        <xdr:sp macro="" textlink="">
          <xdr:nvSpPr>
            <xdr:cNvPr id="17" name="Textfeld 16">
              <a:extLst>
                <a:ext uri="{FF2B5EF4-FFF2-40B4-BE49-F238E27FC236}">
                  <a16:creationId xmlns:a16="http://schemas.microsoft.com/office/drawing/2014/main" id="{8275C3DA-7DBA-4BF0-9865-1A4896EBC608}"/>
                </a:ext>
              </a:extLst>
            </xdr:cNvPr>
            <xdr:cNvSpPr txBox="1"/>
          </xdr:nvSpPr>
          <xdr:spPr>
            <a:xfrm>
              <a:off x="25379332" y="6968356"/>
              <a:ext cx="403860" cy="24736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05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10</a:t>
              </a:r>
              <a:r>
                <a:rPr lang="de-DE" sz="1050" baseline="3000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6</a:t>
              </a:r>
            </a:p>
          </xdr:txBody>
        </xdr:sp>
        <xdr:sp macro="" textlink="">
          <xdr:nvSpPr>
            <xdr:cNvPr id="18" name="Textfeld 17">
              <a:extLst>
                <a:ext uri="{FF2B5EF4-FFF2-40B4-BE49-F238E27FC236}">
                  <a16:creationId xmlns:a16="http://schemas.microsoft.com/office/drawing/2014/main" id="{AE54C6EA-A419-4F5D-A2BB-6B593B23B5F6}"/>
                </a:ext>
              </a:extLst>
            </xdr:cNvPr>
            <xdr:cNvSpPr txBox="1"/>
          </xdr:nvSpPr>
          <xdr:spPr>
            <a:xfrm>
              <a:off x="27401523" y="6968356"/>
              <a:ext cx="403860" cy="24736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05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10</a:t>
              </a:r>
              <a:r>
                <a:rPr lang="de-DE" sz="1050" baseline="3000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7</a:t>
              </a:r>
            </a:p>
          </xdr:txBody>
        </xdr:sp>
        <xdr:sp macro="" textlink="">
          <xdr:nvSpPr>
            <xdr:cNvPr id="19" name="Textfeld 18">
              <a:extLst>
                <a:ext uri="{FF2B5EF4-FFF2-40B4-BE49-F238E27FC236}">
                  <a16:creationId xmlns:a16="http://schemas.microsoft.com/office/drawing/2014/main" id="{1F9E404C-E68D-4580-95E1-9564F4F042E3}"/>
                </a:ext>
              </a:extLst>
            </xdr:cNvPr>
            <xdr:cNvSpPr txBox="1"/>
          </xdr:nvSpPr>
          <xdr:spPr>
            <a:xfrm>
              <a:off x="29423712" y="6968356"/>
              <a:ext cx="403860" cy="24736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05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10</a:t>
              </a:r>
              <a:r>
                <a:rPr lang="de-DE" sz="1050" baseline="3000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8</a:t>
              </a:r>
            </a:p>
          </xdr:txBody>
        </xdr:sp>
      </xdr:grpSp>
      <xdr:grpSp>
        <xdr:nvGrpSpPr>
          <xdr:cNvPr id="28" name="Gruppieren 27">
            <a:extLst>
              <a:ext uri="{FF2B5EF4-FFF2-40B4-BE49-F238E27FC236}">
                <a16:creationId xmlns:a16="http://schemas.microsoft.com/office/drawing/2014/main" id="{72462539-B684-AB2A-02D1-647052170400}"/>
              </a:ext>
            </a:extLst>
          </xdr:cNvPr>
          <xdr:cNvGrpSpPr/>
        </xdr:nvGrpSpPr>
        <xdr:grpSpPr>
          <a:xfrm>
            <a:off x="19921652" y="5961966"/>
            <a:ext cx="942756" cy="447929"/>
            <a:chOff x="19803281" y="6875797"/>
            <a:chExt cx="880838" cy="449315"/>
          </a:xfrm>
        </xdr:grpSpPr>
        <xdr:sp macro="" textlink="">
          <xdr:nvSpPr>
            <xdr:cNvPr id="13" name="Textfeld 12">
              <a:extLst>
                <a:ext uri="{FF2B5EF4-FFF2-40B4-BE49-F238E27FC236}">
                  <a16:creationId xmlns:a16="http://schemas.microsoft.com/office/drawing/2014/main" id="{A077CF4E-5746-49C1-A9BC-D848438F1FF6}"/>
                </a:ext>
              </a:extLst>
            </xdr:cNvPr>
            <xdr:cNvSpPr txBox="1"/>
          </xdr:nvSpPr>
          <xdr:spPr>
            <a:xfrm>
              <a:off x="19803281" y="6949488"/>
              <a:ext cx="546538" cy="27231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100" b="0" i="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Re = </a:t>
              </a:r>
            </a:p>
          </xdr:txBody>
        </xdr:sp>
        <xdr:sp macro="" textlink="">
          <xdr:nvSpPr>
            <xdr:cNvPr id="21" name="Textfeld 20">
              <a:extLst>
                <a:ext uri="{FF2B5EF4-FFF2-40B4-BE49-F238E27FC236}">
                  <a16:creationId xmlns:a16="http://schemas.microsoft.com/office/drawing/2014/main" id="{73A56923-0CB5-48B4-8DBE-C4AEA70B94A4}"/>
                </a:ext>
              </a:extLst>
            </xdr:cNvPr>
            <xdr:cNvSpPr txBox="1"/>
          </xdr:nvSpPr>
          <xdr:spPr>
            <a:xfrm>
              <a:off x="20137939" y="6875797"/>
              <a:ext cx="546180" cy="272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100" b="0" i="1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u</a:t>
              </a:r>
              <a:r>
                <a:rPr lang="de-DE" sz="500" b="0" i="1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 </a:t>
              </a:r>
              <a:r>
                <a:rPr lang="de-DE" sz="1100" b="0" i="1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D</a:t>
              </a:r>
            </a:p>
          </xdr:txBody>
        </xdr:sp>
        <xdr:sp macro="" textlink="">
          <xdr:nvSpPr>
            <xdr:cNvPr id="22" name="Textfeld 21">
              <a:extLst>
                <a:ext uri="{FF2B5EF4-FFF2-40B4-BE49-F238E27FC236}">
                  <a16:creationId xmlns:a16="http://schemas.microsoft.com/office/drawing/2014/main" id="{0C72BF93-DF12-4DF0-98AD-76531A9C801F}"/>
                </a:ext>
              </a:extLst>
            </xdr:cNvPr>
            <xdr:cNvSpPr txBox="1"/>
          </xdr:nvSpPr>
          <xdr:spPr>
            <a:xfrm>
              <a:off x="20127548" y="7052443"/>
              <a:ext cx="546180" cy="272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100" b="0" i="1">
                  <a:latin typeface="Latin Modern Math" panose="02000503000000000000" pitchFamily="50" charset="0"/>
                  <a:ea typeface="Latin Modern Math" panose="02000503000000000000" pitchFamily="50" charset="0"/>
                  <a:cs typeface="CMU Serif" panose="02000603000000000000" pitchFamily="2" charset="0"/>
                </a:rPr>
                <a:t>ν</a:t>
              </a:r>
            </a:p>
          </xdr:txBody>
        </xdr:sp>
        <xdr:cxnSp macro="">
          <xdr:nvCxnSpPr>
            <xdr:cNvPr id="24" name="Gerader Verbinder 23">
              <a:extLst>
                <a:ext uri="{FF2B5EF4-FFF2-40B4-BE49-F238E27FC236}">
                  <a16:creationId xmlns:a16="http://schemas.microsoft.com/office/drawing/2014/main" id="{13BEA568-5FAF-8A3A-1907-8A6E2E4A54FF}"/>
                </a:ext>
              </a:extLst>
            </xdr:cNvPr>
            <xdr:cNvCxnSpPr/>
          </xdr:nvCxnSpPr>
          <xdr:spPr>
            <a:xfrm>
              <a:off x="20289982" y="7090063"/>
              <a:ext cx="259773" cy="0"/>
            </a:xfrm>
            <a:prstGeom prst="line">
              <a:avLst/>
            </a:prstGeom>
            <a:ln w="6350" cap="rnd">
              <a:solidFill>
                <a:schemeClr val="tx1"/>
              </a:solidFill>
              <a:round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Gerader Verbinder 25">
              <a:extLst>
                <a:ext uri="{FF2B5EF4-FFF2-40B4-BE49-F238E27FC236}">
                  <a16:creationId xmlns:a16="http://schemas.microsoft.com/office/drawing/2014/main" id="{36A73860-2743-4468-A75D-A2D0A1094697}"/>
                </a:ext>
              </a:extLst>
            </xdr:cNvPr>
            <xdr:cNvCxnSpPr/>
          </xdr:nvCxnSpPr>
          <xdr:spPr>
            <a:xfrm>
              <a:off x="20331544" y="6972295"/>
              <a:ext cx="51954" cy="0"/>
            </a:xfrm>
            <a:prstGeom prst="line">
              <a:avLst/>
            </a:prstGeom>
            <a:ln w="6350" cap="rnd">
              <a:solidFill>
                <a:schemeClr val="tx1"/>
              </a:solidFill>
              <a:round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30" name="Textfeld 29">
            <a:extLst>
              <a:ext uri="{FF2B5EF4-FFF2-40B4-BE49-F238E27FC236}">
                <a16:creationId xmlns:a16="http://schemas.microsoft.com/office/drawing/2014/main" id="{7E10C1CB-7D9D-4CE5-B1EA-3E329E8318D2}"/>
              </a:ext>
            </a:extLst>
          </xdr:cNvPr>
          <xdr:cNvSpPr txBox="1"/>
        </xdr:nvSpPr>
        <xdr:spPr>
          <a:xfrm>
            <a:off x="20446702" y="4828838"/>
            <a:ext cx="424926" cy="2994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050">
                <a:solidFill>
                  <a:schemeClr val="accent2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①</a:t>
            </a:r>
            <a:endParaRPr lang="de-DE" sz="1050" baseline="30000">
              <a:solidFill>
                <a:schemeClr val="accent2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31" name="Textfeld 30">
            <a:extLst>
              <a:ext uri="{FF2B5EF4-FFF2-40B4-BE49-F238E27FC236}">
                <a16:creationId xmlns:a16="http://schemas.microsoft.com/office/drawing/2014/main" id="{1A90BB9C-6CE6-4D24-87E3-5DB76D8AB673}"/>
              </a:ext>
            </a:extLst>
          </xdr:cNvPr>
          <xdr:cNvSpPr txBox="1"/>
        </xdr:nvSpPr>
        <xdr:spPr>
          <a:xfrm>
            <a:off x="24248634" y="5194599"/>
            <a:ext cx="424927" cy="2994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050">
                <a:solidFill>
                  <a:schemeClr val="accent2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②</a:t>
            </a:r>
            <a:endParaRPr lang="de-DE" sz="1050" baseline="30000">
              <a:solidFill>
                <a:schemeClr val="accent2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32" name="Textfeld 31">
            <a:extLst>
              <a:ext uri="{FF2B5EF4-FFF2-40B4-BE49-F238E27FC236}">
                <a16:creationId xmlns:a16="http://schemas.microsoft.com/office/drawing/2014/main" id="{0CE026A8-BEDE-4B73-A278-07ABB4201726}"/>
              </a:ext>
            </a:extLst>
          </xdr:cNvPr>
          <xdr:cNvSpPr txBox="1"/>
        </xdr:nvSpPr>
        <xdr:spPr>
          <a:xfrm>
            <a:off x="25693745" y="5702450"/>
            <a:ext cx="421341" cy="3030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050">
                <a:solidFill>
                  <a:schemeClr val="accent5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③</a:t>
            </a:r>
            <a:endParaRPr lang="de-DE" sz="1050" baseline="30000">
              <a:solidFill>
                <a:schemeClr val="accent5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33" name="Textfeld 32">
            <a:extLst>
              <a:ext uri="{FF2B5EF4-FFF2-40B4-BE49-F238E27FC236}">
                <a16:creationId xmlns:a16="http://schemas.microsoft.com/office/drawing/2014/main" id="{80EF10F5-3C2C-4A12-B30B-6C06D911EEDA}"/>
              </a:ext>
            </a:extLst>
          </xdr:cNvPr>
          <xdr:cNvSpPr txBox="1"/>
        </xdr:nvSpPr>
        <xdr:spPr>
          <a:xfrm>
            <a:off x="26310516" y="4813600"/>
            <a:ext cx="421341" cy="2994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050">
                <a:solidFill>
                  <a:schemeClr val="accent2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④</a:t>
            </a:r>
            <a:endParaRPr lang="de-DE" sz="1050" baseline="30000">
              <a:solidFill>
                <a:schemeClr val="accent2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34" name="Textfeld 33">
            <a:extLst>
              <a:ext uri="{FF2B5EF4-FFF2-40B4-BE49-F238E27FC236}">
                <a16:creationId xmlns:a16="http://schemas.microsoft.com/office/drawing/2014/main" id="{F81E2F12-AC69-4ACC-AE98-357EF8534A67}"/>
              </a:ext>
            </a:extLst>
          </xdr:cNvPr>
          <xdr:cNvSpPr txBox="1"/>
        </xdr:nvSpPr>
        <xdr:spPr>
          <a:xfrm>
            <a:off x="27898165" y="4845424"/>
            <a:ext cx="421341" cy="2994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050">
                <a:solidFill>
                  <a:schemeClr val="accent2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⑤</a:t>
            </a:r>
            <a:endParaRPr lang="de-DE" sz="1050" baseline="30000">
              <a:solidFill>
                <a:schemeClr val="accent2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35" name="Textfeld 34">
            <a:extLst>
              <a:ext uri="{FF2B5EF4-FFF2-40B4-BE49-F238E27FC236}">
                <a16:creationId xmlns:a16="http://schemas.microsoft.com/office/drawing/2014/main" id="{BCD97B02-875B-4468-92FF-EAF119CFFE57}"/>
              </a:ext>
            </a:extLst>
          </xdr:cNvPr>
          <xdr:cNvSpPr txBox="1"/>
        </xdr:nvSpPr>
        <xdr:spPr>
          <a:xfrm>
            <a:off x="29892889" y="999483"/>
            <a:ext cx="599050" cy="2396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05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5 · 10</a:t>
            </a:r>
            <a:r>
              <a:rPr lang="de-DE" sz="1050" baseline="3000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-2</a:t>
            </a:r>
          </a:p>
        </xdr:txBody>
      </xdr:sp>
      <xdr:sp macro="" textlink="">
        <xdr:nvSpPr>
          <xdr:cNvPr id="36" name="Textfeld 35">
            <a:extLst>
              <a:ext uri="{FF2B5EF4-FFF2-40B4-BE49-F238E27FC236}">
                <a16:creationId xmlns:a16="http://schemas.microsoft.com/office/drawing/2014/main" id="{4BC61105-765F-4DE9-B10E-1B96ACD2871E}"/>
              </a:ext>
            </a:extLst>
          </xdr:cNvPr>
          <xdr:cNvSpPr txBox="1"/>
        </xdr:nvSpPr>
        <xdr:spPr>
          <a:xfrm>
            <a:off x="29892889" y="1244990"/>
            <a:ext cx="599050" cy="2396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05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4 · 10</a:t>
            </a:r>
            <a:r>
              <a:rPr lang="de-DE" sz="1050" baseline="3000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-2</a:t>
            </a:r>
          </a:p>
        </xdr:txBody>
      </xdr:sp>
      <xdr:sp macro="" textlink="">
        <xdr:nvSpPr>
          <xdr:cNvPr id="37" name="Textfeld 36">
            <a:extLst>
              <a:ext uri="{FF2B5EF4-FFF2-40B4-BE49-F238E27FC236}">
                <a16:creationId xmlns:a16="http://schemas.microsoft.com/office/drawing/2014/main" id="{7BD7C50F-AC6A-4D57-8C87-D9E462B46F2C}"/>
              </a:ext>
            </a:extLst>
          </xdr:cNvPr>
          <xdr:cNvSpPr txBox="1"/>
        </xdr:nvSpPr>
        <xdr:spPr>
          <a:xfrm>
            <a:off x="29892889" y="1557996"/>
            <a:ext cx="599050" cy="2396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05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3 · 10</a:t>
            </a:r>
            <a:r>
              <a:rPr lang="de-DE" sz="1050" baseline="3000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-2</a:t>
            </a:r>
          </a:p>
        </xdr:txBody>
      </xdr:sp>
      <xdr:sp macro="" textlink="">
        <xdr:nvSpPr>
          <xdr:cNvPr id="38" name="Textfeld 37">
            <a:extLst>
              <a:ext uri="{FF2B5EF4-FFF2-40B4-BE49-F238E27FC236}">
                <a16:creationId xmlns:a16="http://schemas.microsoft.com/office/drawing/2014/main" id="{7AA7237D-5F83-4C43-8EAB-681D8D95B71A}"/>
              </a:ext>
            </a:extLst>
          </xdr:cNvPr>
          <xdr:cNvSpPr txBox="1"/>
        </xdr:nvSpPr>
        <xdr:spPr>
          <a:xfrm>
            <a:off x="29892889" y="1951212"/>
            <a:ext cx="599050" cy="2396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05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 · 10</a:t>
            </a:r>
            <a:r>
              <a:rPr lang="de-DE" sz="1050" baseline="3000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-2</a:t>
            </a:r>
          </a:p>
        </xdr:txBody>
      </xdr:sp>
      <xdr:sp macro="" textlink="">
        <xdr:nvSpPr>
          <xdr:cNvPr id="39" name="Textfeld 38">
            <a:extLst>
              <a:ext uri="{FF2B5EF4-FFF2-40B4-BE49-F238E27FC236}">
                <a16:creationId xmlns:a16="http://schemas.microsoft.com/office/drawing/2014/main" id="{7227F4DC-1CBE-4DCF-99D7-158D463D1124}"/>
              </a:ext>
            </a:extLst>
          </xdr:cNvPr>
          <xdr:cNvSpPr txBox="1"/>
        </xdr:nvSpPr>
        <xdr:spPr>
          <a:xfrm>
            <a:off x="29798489" y="2217696"/>
            <a:ext cx="686972" cy="2380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05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1,5 · 10</a:t>
            </a:r>
            <a:r>
              <a:rPr lang="de-DE" sz="1050" baseline="3000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-2</a:t>
            </a:r>
          </a:p>
        </xdr:txBody>
      </xdr:sp>
      <xdr:sp macro="" textlink="">
        <xdr:nvSpPr>
          <xdr:cNvPr id="40" name="Textfeld 39">
            <a:extLst>
              <a:ext uri="{FF2B5EF4-FFF2-40B4-BE49-F238E27FC236}">
                <a16:creationId xmlns:a16="http://schemas.microsoft.com/office/drawing/2014/main" id="{DEEB5CF0-1DA5-4B03-B6E3-147C125E5222}"/>
              </a:ext>
            </a:extLst>
          </xdr:cNvPr>
          <xdr:cNvSpPr txBox="1"/>
        </xdr:nvSpPr>
        <xdr:spPr>
          <a:xfrm>
            <a:off x="29892889" y="2559700"/>
            <a:ext cx="599050" cy="24079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05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 · 10</a:t>
            </a:r>
            <a:r>
              <a:rPr lang="de-DE" sz="1050" baseline="3000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-2</a:t>
            </a:r>
          </a:p>
        </xdr:txBody>
      </xdr:sp>
      <xdr:sp macro="" textlink="">
        <xdr:nvSpPr>
          <xdr:cNvPr id="41" name="Textfeld 40">
            <a:extLst>
              <a:ext uri="{FF2B5EF4-FFF2-40B4-BE49-F238E27FC236}">
                <a16:creationId xmlns:a16="http://schemas.microsoft.com/office/drawing/2014/main" id="{069C3002-E8D4-4A4A-B942-DBE56AF20347}"/>
              </a:ext>
            </a:extLst>
          </xdr:cNvPr>
          <xdr:cNvSpPr txBox="1"/>
        </xdr:nvSpPr>
        <xdr:spPr>
          <a:xfrm>
            <a:off x="29892889" y="2750600"/>
            <a:ext cx="599050" cy="2407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05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8 · 10</a:t>
            </a:r>
            <a:r>
              <a:rPr lang="de-DE" sz="1050" baseline="3000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-3</a:t>
            </a:r>
          </a:p>
        </xdr:txBody>
      </xdr:sp>
      <xdr:sp macro="" textlink="">
        <xdr:nvSpPr>
          <xdr:cNvPr id="42" name="Textfeld 41">
            <a:extLst>
              <a:ext uri="{FF2B5EF4-FFF2-40B4-BE49-F238E27FC236}">
                <a16:creationId xmlns:a16="http://schemas.microsoft.com/office/drawing/2014/main" id="{2EDE4F22-0CEB-4AF7-B59F-A3AD83C071C5}"/>
              </a:ext>
            </a:extLst>
          </xdr:cNvPr>
          <xdr:cNvSpPr txBox="1"/>
        </xdr:nvSpPr>
        <xdr:spPr>
          <a:xfrm>
            <a:off x="29892889" y="2972603"/>
            <a:ext cx="599050" cy="2423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05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6 · 10</a:t>
            </a:r>
            <a:r>
              <a:rPr lang="de-DE" sz="1050" baseline="3000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-3</a:t>
            </a:r>
          </a:p>
        </xdr:txBody>
      </xdr:sp>
      <xdr:sp macro="" textlink="">
        <xdr:nvSpPr>
          <xdr:cNvPr id="43" name="Textfeld 42">
            <a:extLst>
              <a:ext uri="{FF2B5EF4-FFF2-40B4-BE49-F238E27FC236}">
                <a16:creationId xmlns:a16="http://schemas.microsoft.com/office/drawing/2014/main" id="{C55F3A05-21B1-4BFB-9CAC-4C0B5AC5DF43}"/>
              </a:ext>
            </a:extLst>
          </xdr:cNvPr>
          <xdr:cNvSpPr txBox="1"/>
        </xdr:nvSpPr>
        <xdr:spPr>
          <a:xfrm>
            <a:off x="29892889" y="3271787"/>
            <a:ext cx="599050" cy="24079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05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4 · 10</a:t>
            </a:r>
            <a:r>
              <a:rPr lang="de-DE" sz="1050" baseline="3000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-3</a:t>
            </a:r>
          </a:p>
        </xdr:txBody>
      </xdr:sp>
      <xdr:sp macro="" textlink="">
        <xdr:nvSpPr>
          <xdr:cNvPr id="44" name="Textfeld 43">
            <a:extLst>
              <a:ext uri="{FF2B5EF4-FFF2-40B4-BE49-F238E27FC236}">
                <a16:creationId xmlns:a16="http://schemas.microsoft.com/office/drawing/2014/main" id="{D5E863F7-0E42-4E02-9596-98FCF7233EE4}"/>
              </a:ext>
            </a:extLst>
          </xdr:cNvPr>
          <xdr:cNvSpPr txBox="1"/>
        </xdr:nvSpPr>
        <xdr:spPr>
          <a:xfrm>
            <a:off x="29892889" y="3756259"/>
            <a:ext cx="599050" cy="2423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05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 · 10</a:t>
            </a:r>
            <a:r>
              <a:rPr lang="de-DE" sz="1050" baseline="3000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-3</a:t>
            </a:r>
          </a:p>
        </xdr:txBody>
      </xdr:sp>
      <xdr:sp macro="" textlink="">
        <xdr:nvSpPr>
          <xdr:cNvPr id="45" name="Textfeld 44">
            <a:extLst>
              <a:ext uri="{FF2B5EF4-FFF2-40B4-BE49-F238E27FC236}">
                <a16:creationId xmlns:a16="http://schemas.microsoft.com/office/drawing/2014/main" id="{91BCA5E7-2482-405E-B9FF-11426DD6F17E}"/>
              </a:ext>
            </a:extLst>
          </xdr:cNvPr>
          <xdr:cNvSpPr txBox="1"/>
        </xdr:nvSpPr>
        <xdr:spPr>
          <a:xfrm>
            <a:off x="29892889" y="4182177"/>
            <a:ext cx="599050" cy="24079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05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 · 10</a:t>
            </a:r>
            <a:r>
              <a:rPr lang="de-DE" sz="1050" baseline="3000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-3</a:t>
            </a:r>
          </a:p>
        </xdr:txBody>
      </xdr:sp>
      <xdr:sp macro="" textlink="">
        <xdr:nvSpPr>
          <xdr:cNvPr id="46" name="Textfeld 45">
            <a:extLst>
              <a:ext uri="{FF2B5EF4-FFF2-40B4-BE49-F238E27FC236}">
                <a16:creationId xmlns:a16="http://schemas.microsoft.com/office/drawing/2014/main" id="{A9E0FF36-1174-480C-B965-B7B24C15AB33}"/>
              </a:ext>
            </a:extLst>
          </xdr:cNvPr>
          <xdr:cNvSpPr txBox="1"/>
        </xdr:nvSpPr>
        <xdr:spPr>
          <a:xfrm>
            <a:off x="29892889" y="4320941"/>
            <a:ext cx="599050" cy="2423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05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8 · 10</a:t>
            </a:r>
            <a:r>
              <a:rPr lang="de-DE" sz="1050" baseline="3000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-4</a:t>
            </a:r>
          </a:p>
        </xdr:txBody>
      </xdr:sp>
      <xdr:sp macro="" textlink="">
        <xdr:nvSpPr>
          <xdr:cNvPr id="47" name="Textfeld 46">
            <a:extLst>
              <a:ext uri="{FF2B5EF4-FFF2-40B4-BE49-F238E27FC236}">
                <a16:creationId xmlns:a16="http://schemas.microsoft.com/office/drawing/2014/main" id="{98C44A99-AC50-4652-8A33-6916E30267CA}"/>
              </a:ext>
            </a:extLst>
          </xdr:cNvPr>
          <xdr:cNvSpPr txBox="1"/>
        </xdr:nvSpPr>
        <xdr:spPr>
          <a:xfrm>
            <a:off x="29892889" y="4479758"/>
            <a:ext cx="599050" cy="2423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05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6 · 10</a:t>
            </a:r>
            <a:r>
              <a:rPr lang="de-DE" sz="1050" baseline="3000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-4</a:t>
            </a:r>
          </a:p>
        </xdr:txBody>
      </xdr:sp>
      <xdr:sp macro="" textlink="">
        <xdr:nvSpPr>
          <xdr:cNvPr id="48" name="Textfeld 47">
            <a:extLst>
              <a:ext uri="{FF2B5EF4-FFF2-40B4-BE49-F238E27FC236}">
                <a16:creationId xmlns:a16="http://schemas.microsoft.com/office/drawing/2014/main" id="{AA89B340-3E8A-4D6F-83E1-79860C61E25D}"/>
              </a:ext>
            </a:extLst>
          </xdr:cNvPr>
          <xdr:cNvSpPr txBox="1"/>
        </xdr:nvSpPr>
        <xdr:spPr>
          <a:xfrm>
            <a:off x="29892889" y="4706754"/>
            <a:ext cx="599050" cy="2423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05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4 · 10</a:t>
            </a:r>
            <a:r>
              <a:rPr lang="de-DE" sz="1050" baseline="3000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-4</a:t>
            </a:r>
          </a:p>
        </xdr:txBody>
      </xdr:sp>
      <xdr:sp macro="" textlink="">
        <xdr:nvSpPr>
          <xdr:cNvPr id="49" name="Textfeld 48">
            <a:extLst>
              <a:ext uri="{FF2B5EF4-FFF2-40B4-BE49-F238E27FC236}">
                <a16:creationId xmlns:a16="http://schemas.microsoft.com/office/drawing/2014/main" id="{50F34F48-42A4-4281-8A11-19D0DF9C8FD8}"/>
              </a:ext>
            </a:extLst>
          </xdr:cNvPr>
          <xdr:cNvSpPr txBox="1"/>
        </xdr:nvSpPr>
        <xdr:spPr>
          <a:xfrm>
            <a:off x="29892889" y="5068503"/>
            <a:ext cx="599050" cy="2423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05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 · 10</a:t>
            </a:r>
            <a:r>
              <a:rPr lang="de-DE" sz="1050" baseline="3000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-4</a:t>
            </a:r>
          </a:p>
        </xdr:txBody>
      </xdr:sp>
      <xdr:sp macro="" textlink="">
        <xdr:nvSpPr>
          <xdr:cNvPr id="50" name="Textfeld 49">
            <a:extLst>
              <a:ext uri="{FF2B5EF4-FFF2-40B4-BE49-F238E27FC236}">
                <a16:creationId xmlns:a16="http://schemas.microsoft.com/office/drawing/2014/main" id="{63DB7781-422E-4D7C-B619-374C6F6A8B55}"/>
              </a:ext>
            </a:extLst>
          </xdr:cNvPr>
          <xdr:cNvSpPr txBox="1"/>
        </xdr:nvSpPr>
        <xdr:spPr>
          <a:xfrm>
            <a:off x="29892889" y="5390148"/>
            <a:ext cx="599050" cy="2423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05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 · 10</a:t>
            </a:r>
            <a:r>
              <a:rPr lang="de-DE" sz="1050" baseline="3000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-4</a:t>
            </a:r>
          </a:p>
        </xdr:txBody>
      </xdr:sp>
      <xdr:sp macro="" textlink="">
        <xdr:nvSpPr>
          <xdr:cNvPr id="51" name="Textfeld 50">
            <a:extLst>
              <a:ext uri="{FF2B5EF4-FFF2-40B4-BE49-F238E27FC236}">
                <a16:creationId xmlns:a16="http://schemas.microsoft.com/office/drawing/2014/main" id="{D278E597-E019-40CF-B7E0-B7E194C00F1F}"/>
              </a:ext>
            </a:extLst>
          </xdr:cNvPr>
          <xdr:cNvSpPr txBox="1"/>
        </xdr:nvSpPr>
        <xdr:spPr>
          <a:xfrm>
            <a:off x="29892889" y="5707781"/>
            <a:ext cx="599050" cy="2423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05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5 · 10</a:t>
            </a:r>
            <a:r>
              <a:rPr lang="de-DE" sz="1050" baseline="30000">
                <a:solidFill>
                  <a:schemeClr val="tx2">
                    <a:lumMod val="75000"/>
                    <a:lumOff val="2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-5</a:t>
            </a:r>
          </a:p>
        </xdr:txBody>
      </xdr:sp>
      <xdr:grpSp>
        <xdr:nvGrpSpPr>
          <xdr:cNvPr id="52" name="Gruppieren 51">
            <a:extLst>
              <a:ext uri="{FF2B5EF4-FFF2-40B4-BE49-F238E27FC236}">
                <a16:creationId xmlns:a16="http://schemas.microsoft.com/office/drawing/2014/main" id="{9EF2E8EE-5305-4D17-9FB9-2581291288B6}"/>
              </a:ext>
            </a:extLst>
          </xdr:cNvPr>
          <xdr:cNvGrpSpPr/>
        </xdr:nvGrpSpPr>
        <xdr:grpSpPr>
          <a:xfrm>
            <a:off x="29875269" y="431955"/>
            <a:ext cx="593798" cy="468714"/>
            <a:chOff x="20127548" y="6861985"/>
            <a:chExt cx="556571" cy="470034"/>
          </a:xfrm>
        </xdr:grpSpPr>
        <xdr:sp macro="" textlink="">
          <xdr:nvSpPr>
            <xdr:cNvPr id="54" name="Textfeld 53">
              <a:extLst>
                <a:ext uri="{FF2B5EF4-FFF2-40B4-BE49-F238E27FC236}">
                  <a16:creationId xmlns:a16="http://schemas.microsoft.com/office/drawing/2014/main" id="{9B25FF8B-E223-8394-CB61-E8D5FBFB33B0}"/>
                </a:ext>
              </a:extLst>
            </xdr:cNvPr>
            <xdr:cNvSpPr txBox="1"/>
          </xdr:nvSpPr>
          <xdr:spPr>
            <a:xfrm>
              <a:off x="20137939" y="6861985"/>
              <a:ext cx="546180" cy="272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100" b="0" i="1">
                  <a:solidFill>
                    <a:schemeClr val="tx2">
                      <a:lumMod val="75000"/>
                      <a:lumOff val="25000"/>
                    </a:schemeClr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k</a:t>
              </a:r>
              <a:r>
                <a:rPr lang="de-DE" sz="1100" b="0" i="1" baseline="-25000">
                  <a:solidFill>
                    <a:schemeClr val="tx2">
                      <a:lumMod val="75000"/>
                      <a:lumOff val="25000"/>
                    </a:schemeClr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S</a:t>
              </a:r>
            </a:p>
          </xdr:txBody>
        </xdr:sp>
        <xdr:sp macro="" textlink="">
          <xdr:nvSpPr>
            <xdr:cNvPr id="55" name="Textfeld 54">
              <a:extLst>
                <a:ext uri="{FF2B5EF4-FFF2-40B4-BE49-F238E27FC236}">
                  <a16:creationId xmlns:a16="http://schemas.microsoft.com/office/drawing/2014/main" id="{8A84E4E1-B634-9D1C-3868-99E3E3D76348}"/>
                </a:ext>
              </a:extLst>
            </xdr:cNvPr>
            <xdr:cNvSpPr txBox="1"/>
          </xdr:nvSpPr>
          <xdr:spPr>
            <a:xfrm>
              <a:off x="20127548" y="7059350"/>
              <a:ext cx="546180" cy="272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100" b="0" i="1">
                  <a:solidFill>
                    <a:schemeClr val="tx2">
                      <a:lumMod val="75000"/>
                      <a:lumOff val="25000"/>
                    </a:schemeClr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D</a:t>
              </a:r>
            </a:p>
          </xdr:txBody>
        </xdr:sp>
        <xdr:cxnSp macro="">
          <xdr:nvCxnSpPr>
            <xdr:cNvPr id="56" name="Gerader Verbinder 55">
              <a:extLst>
                <a:ext uri="{FF2B5EF4-FFF2-40B4-BE49-F238E27FC236}">
                  <a16:creationId xmlns:a16="http://schemas.microsoft.com/office/drawing/2014/main" id="{5E4DD85D-52A7-EAE3-F792-63B8A0DE0D8D}"/>
                </a:ext>
              </a:extLst>
            </xdr:cNvPr>
            <xdr:cNvCxnSpPr/>
          </xdr:nvCxnSpPr>
          <xdr:spPr>
            <a:xfrm>
              <a:off x="20325335" y="7090063"/>
              <a:ext cx="171864" cy="0"/>
            </a:xfrm>
            <a:prstGeom prst="line">
              <a:avLst/>
            </a:prstGeom>
            <a:ln w="635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51"/>
  <sheetViews>
    <sheetView tabSelected="1" topLeftCell="O1" zoomScaleNormal="100" workbookViewId="0">
      <selection activeCell="AS5" sqref="AS5"/>
    </sheetView>
  </sheetViews>
  <sheetFormatPr baseColWidth="10" defaultRowHeight="14.4"/>
  <cols>
    <col min="1" max="1" width="2.6640625" customWidth="1"/>
    <col min="2" max="2" width="3.6640625" customWidth="1"/>
    <col min="3" max="20" width="11.109375" customWidth="1"/>
    <col min="21" max="21" width="2.6640625" customWidth="1"/>
    <col min="22" max="24" width="11.5546875" style="11" customWidth="1"/>
    <col min="25" max="25" width="2.6640625" customWidth="1"/>
    <col min="26" max="27" width="8.5546875" style="2" customWidth="1"/>
  </cols>
  <sheetData>
    <row r="2" spans="2:27" ht="19.8" customHeight="1">
      <c r="B2" s="20" t="s">
        <v>8</v>
      </c>
      <c r="C2" s="21"/>
      <c r="D2" s="20" t="s">
        <v>4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4"/>
      <c r="V2" s="20" t="s">
        <v>5</v>
      </c>
      <c r="W2" s="20" t="s">
        <v>6</v>
      </c>
      <c r="X2" s="20" t="s">
        <v>7</v>
      </c>
      <c r="Z2" s="20" t="s">
        <v>0</v>
      </c>
      <c r="AA2" s="24"/>
    </row>
    <row r="3" spans="2:27" s="1" customFormat="1" ht="25.8" customHeight="1">
      <c r="B3" s="22"/>
      <c r="C3" s="23"/>
      <c r="D3" s="7">
        <v>0.05</v>
      </c>
      <c r="E3" s="7">
        <v>0.04</v>
      </c>
      <c r="F3" s="7">
        <v>0.03</v>
      </c>
      <c r="G3" s="7">
        <v>0.02</v>
      </c>
      <c r="H3" s="7">
        <v>1.4999999999999999E-2</v>
      </c>
      <c r="I3" s="7">
        <v>0.01</v>
      </c>
      <c r="J3" s="7">
        <v>8.0000000000000002E-3</v>
      </c>
      <c r="K3" s="7">
        <v>6.0000000000000001E-3</v>
      </c>
      <c r="L3" s="7">
        <v>4.0000000000000001E-3</v>
      </c>
      <c r="M3" s="7">
        <v>2E-3</v>
      </c>
      <c r="N3" s="7">
        <v>1E-3</v>
      </c>
      <c r="O3" s="6">
        <v>8.0000000000000004E-4</v>
      </c>
      <c r="P3" s="6">
        <v>5.9999999999999995E-4</v>
      </c>
      <c r="Q3" s="6">
        <v>4.0000000000000002E-4</v>
      </c>
      <c r="R3" s="6">
        <v>2.0000000000000001E-4</v>
      </c>
      <c r="S3" s="6">
        <v>1E-4</v>
      </c>
      <c r="T3" s="6">
        <v>5.0000000000000002E-5</v>
      </c>
      <c r="V3" s="27"/>
      <c r="W3" s="27"/>
      <c r="X3" s="27"/>
      <c r="Z3" s="15" t="s">
        <v>1</v>
      </c>
      <c r="AA3" s="18" t="s">
        <v>2</v>
      </c>
    </row>
    <row r="4" spans="2:27">
      <c r="B4" s="25" t="s">
        <v>1</v>
      </c>
      <c r="C4" s="8">
        <v>1000</v>
      </c>
      <c r="D4" s="3">
        <f ca="1">(1/(1.14-2*LOG10(D$3+9.35/($C4*SQRT(IF(D4=0,0.03,D4))))))^2</f>
        <v>9.059633008823488E-2</v>
      </c>
      <c r="E4" s="3">
        <f t="shared" ref="E4:T19" ca="1" si="0">(1/(1.14-2*LOG10(E$3+9.35/($C4*SQRT(IF(E4=0,0.03,E4))))))^2</f>
        <v>8.5244778332884033E-2</v>
      </c>
      <c r="F4" s="3">
        <f t="shared" ca="1" si="0"/>
        <v>7.9800065557390748E-2</v>
      </c>
      <c r="G4" s="3">
        <f t="shared" ca="1" si="0"/>
        <v>7.4239184883400089E-2</v>
      </c>
      <c r="H4" s="3">
        <f t="shared" ca="1" si="0"/>
        <v>7.1406506356689575E-2</v>
      </c>
      <c r="I4" s="3">
        <f t="shared" ca="1" si="0"/>
        <v>6.8533559441720515E-2</v>
      </c>
      <c r="J4" s="3">
        <f t="shared" ca="1" si="0"/>
        <v>6.7372077214835457E-2</v>
      </c>
      <c r="K4" s="3">
        <f t="shared" ca="1" si="0"/>
        <v>6.6203090483240939E-2</v>
      </c>
      <c r="L4" s="3">
        <f t="shared" ca="1" si="0"/>
        <v>6.5026265470668698E-2</v>
      </c>
      <c r="M4" s="3">
        <f t="shared" ca="1" si="0"/>
        <v>6.3841255502408337E-2</v>
      </c>
      <c r="N4" s="3">
        <f t="shared" ca="1" si="0"/>
        <v>6.3245569367763071E-2</v>
      </c>
      <c r="O4" s="3">
        <f t="shared" ca="1" si="0"/>
        <v>6.3126171797333902E-2</v>
      </c>
      <c r="P4" s="3">
        <f t="shared" ca="1" si="0"/>
        <v>6.3006686580602836E-2</v>
      </c>
      <c r="Q4" s="3">
        <f t="shared" ca="1" si="0"/>
        <v>6.2887113344482298E-2</v>
      </c>
      <c r="R4" s="3">
        <f t="shared" ca="1" si="0"/>
        <v>6.2767451714745598E-2</v>
      </c>
      <c r="S4" s="3">
        <f t="shared" ca="1" si="0"/>
        <v>6.2707587635016548E-2</v>
      </c>
      <c r="T4" s="3">
        <f t="shared" ca="1" si="0"/>
        <v>6.2677647258375102E-2</v>
      </c>
      <c r="V4" s="12">
        <f t="shared" ref="V4:V51" si="1">64/$C4</f>
        <v>6.4000000000000001E-2</v>
      </c>
      <c r="W4" s="12">
        <f t="shared" ref="W4:W51" si="2">0.3164/($C4^(1/4))</f>
        <v>5.6264760533631525E-2</v>
      </c>
      <c r="X4" s="12">
        <f ca="1">(1/(2*LOG10($C4*SQRT(IF(X4=0,0.03,X4)))-0.8))^2</f>
        <v>6.2605906105282036E-2</v>
      </c>
      <c r="Z4" s="16">
        <f>10^4</f>
        <v>10000</v>
      </c>
      <c r="AA4" s="17">
        <v>8.3000000000000004E-2</v>
      </c>
    </row>
    <row r="5" spans="2:27">
      <c r="B5" s="26"/>
      <c r="C5" s="8">
        <v>1300</v>
      </c>
      <c r="D5" s="3">
        <f t="shared" ref="D5:S51" ca="1" si="3">(1/(1.14-2*LOG10(D$3+9.35/($C5*SQRT(IF(D5=0,0.03,D5))))))^2</f>
        <v>8.6682648848696073E-2</v>
      </c>
      <c r="E5" s="3">
        <f t="shared" ca="1" si="3"/>
        <v>8.1129964870013976E-2</v>
      </c>
      <c r="F5" s="3">
        <f t="shared" ca="1" si="3"/>
        <v>7.5442767343306447E-2</v>
      </c>
      <c r="G5" s="3">
        <f t="shared" ca="1" si="3"/>
        <v>6.958447362122068E-2</v>
      </c>
      <c r="H5" s="3">
        <f t="shared" ca="1" si="3"/>
        <v>6.657662439402294E-2</v>
      </c>
      <c r="I5" s="3">
        <f t="shared" ca="1" si="3"/>
        <v>6.3506692343602192E-2</v>
      </c>
      <c r="J5" s="3">
        <f t="shared" ca="1" si="3"/>
        <v>6.2259439753395762E-2</v>
      </c>
      <c r="K5" s="3">
        <f t="shared" ca="1" si="3"/>
        <v>6.1000269018582201E-2</v>
      </c>
      <c r="L5" s="3">
        <f t="shared" ca="1" si="3"/>
        <v>5.9728529285737519E-2</v>
      </c>
      <c r="M5" s="3">
        <f t="shared" ca="1" si="3"/>
        <v>5.8443531405558587E-2</v>
      </c>
      <c r="N5" s="3">
        <f t="shared" ca="1" si="3"/>
        <v>5.7795834595267173E-2</v>
      </c>
      <c r="O5" s="3">
        <f t="shared" ca="1" si="3"/>
        <v>5.7665867418391165E-2</v>
      </c>
      <c r="P5" s="3">
        <f t="shared" ca="1" si="3"/>
        <v>5.7535755849599829E-2</v>
      </c>
      <c r="Q5" s="3">
        <f t="shared" ca="1" si="3"/>
        <v>5.7405499115191383E-2</v>
      </c>
      <c r="R5" s="3">
        <f t="shared" ca="1" si="3"/>
        <v>5.7275096437552894E-2</v>
      </c>
      <c r="S5" s="3">
        <f t="shared" ca="1" si="3"/>
        <v>5.7209840125951643E-2</v>
      </c>
      <c r="T5" s="3">
        <f t="shared" ref="E5:T51" ca="1" si="4">(1/(1.14-2*LOG10(T$3+9.35/($C5*SQRT(IF(T5=0,0.03,T5))))))^2</f>
        <v>5.7177198184096806E-2</v>
      </c>
      <c r="V5" s="12">
        <f t="shared" si="1"/>
        <v>4.9230769230769231E-2</v>
      </c>
      <c r="W5" s="12">
        <f t="shared" si="2"/>
        <v>5.2692722341848887E-2</v>
      </c>
      <c r="X5" s="12">
        <f t="shared" ref="X5:X51" ca="1" si="5">(1/(2*LOG10($C5*SQRT(IF(X5=0,0.03,X5)))-0.8))^2</f>
        <v>5.7107841051905792E-2</v>
      </c>
      <c r="Z5" s="16">
        <f>2*10^4</f>
        <v>20000</v>
      </c>
      <c r="AA5" s="17">
        <v>6.5000000000000002E-2</v>
      </c>
    </row>
    <row r="6" spans="2:27">
      <c r="B6" s="26"/>
      <c r="C6" s="8">
        <v>2000</v>
      </c>
      <c r="D6" s="3">
        <f t="shared" ca="1" si="3"/>
        <v>8.180195229655933E-2</v>
      </c>
      <c r="E6" s="3">
        <f t="shared" ca="1" si="4"/>
        <v>7.5941002880719324E-2</v>
      </c>
      <c r="F6" s="3">
        <f t="shared" ca="1" si="4"/>
        <v>6.9868161863716582E-2</v>
      </c>
      <c r="G6" s="3">
        <f t="shared" ca="1" si="4"/>
        <v>6.3513802645119133E-2</v>
      </c>
      <c r="H6" s="3">
        <f t="shared" ca="1" si="4"/>
        <v>6.0200761980585903E-2</v>
      </c>
      <c r="I6" s="3">
        <f t="shared" ca="1" si="4"/>
        <v>5.6775141643104959E-2</v>
      </c>
      <c r="J6" s="3">
        <f t="shared" ca="1" si="4"/>
        <v>5.5368665598700934E-2</v>
      </c>
      <c r="K6" s="3">
        <f t="shared" ca="1" si="4"/>
        <v>5.3939115444511132E-2</v>
      </c>
      <c r="L6" s="3">
        <f t="shared" ca="1" si="4"/>
        <v>5.2484688385615465E-2</v>
      </c>
      <c r="M6" s="3">
        <f t="shared" ca="1" si="4"/>
        <v>5.1003397962535654E-2</v>
      </c>
      <c r="N6" s="3">
        <f t="shared" ca="1" si="4"/>
        <v>5.0252003562402177E-2</v>
      </c>
      <c r="O6" s="3">
        <f t="shared" ca="1" si="4"/>
        <v>5.0100827955860627E-2</v>
      </c>
      <c r="P6" s="3">
        <f t="shared" ca="1" si="4"/>
        <v>4.9949347855707968E-2</v>
      </c>
      <c r="Q6" s="3">
        <f t="shared" ca="1" si="4"/>
        <v>4.9797560823182201E-2</v>
      </c>
      <c r="R6" s="3">
        <f t="shared" ca="1" si="4"/>
        <v>4.9645464396643371E-2</v>
      </c>
      <c r="S6" s="3">
        <f t="shared" ca="1" si="4"/>
        <v>4.9569299385071354E-2</v>
      </c>
      <c r="T6" s="3">
        <f t="shared" ca="1" si="4"/>
        <v>4.9531187543121365E-2</v>
      </c>
      <c r="V6" s="12">
        <f t="shared" si="1"/>
        <v>3.2000000000000001E-2</v>
      </c>
      <c r="W6" s="12">
        <f t="shared" si="2"/>
        <v>4.7312835437839422E-2</v>
      </c>
      <c r="X6" s="12">
        <f t="shared" ca="1" si="5"/>
        <v>4.9463111962455501E-2</v>
      </c>
      <c r="Z6" s="16">
        <f>3*10^4</f>
        <v>30000</v>
      </c>
      <c r="AA6" s="17">
        <v>5.6000000000000001E-2</v>
      </c>
    </row>
    <row r="7" spans="2:27">
      <c r="B7" s="26"/>
      <c r="C7" s="8">
        <v>3000</v>
      </c>
      <c r="D7" s="3">
        <f t="shared" ca="1" si="3"/>
        <v>7.8566368024392458E-2</v>
      </c>
      <c r="E7" s="3">
        <f t="shared" ca="1" si="4"/>
        <v>7.2454964717548143E-2</v>
      </c>
      <c r="F7" s="3">
        <f t="shared" ca="1" si="4"/>
        <v>6.6054546641194839E-2</v>
      </c>
      <c r="G7" s="3">
        <f t="shared" ca="1" si="4"/>
        <v>5.9252508954020684E-2</v>
      </c>
      <c r="H7" s="3">
        <f t="shared" ca="1" si="4"/>
        <v>5.5647524719664034E-2</v>
      </c>
      <c r="I7" s="3">
        <f t="shared" ca="1" si="4"/>
        <v>5.1863941930125633E-2</v>
      </c>
      <c r="J7" s="3">
        <f t="shared" ca="1" si="4"/>
        <v>5.0290567965108189E-2</v>
      </c>
      <c r="K7" s="3">
        <f t="shared" ca="1" si="4"/>
        <v>4.8677584993633546E-2</v>
      </c>
      <c r="L7" s="3">
        <f t="shared" ca="1" si="4"/>
        <v>4.7020668608983587E-2</v>
      </c>
      <c r="M7" s="3">
        <f t="shared" ca="1" si="4"/>
        <v>4.5314810618520267E-2</v>
      </c>
      <c r="N7" s="3">
        <f t="shared" ca="1" si="4"/>
        <v>4.4441745530145099E-2</v>
      </c>
      <c r="O7" s="3">
        <f t="shared" ca="1" si="4"/>
        <v>4.426542100964944E-2</v>
      </c>
      <c r="P7" s="3">
        <f t="shared" ca="1" si="4"/>
        <v>4.408851034761424E-2</v>
      </c>
      <c r="Q7" s="3">
        <f t="shared" ca="1" si="4"/>
        <v>4.3911006635093827E-2</v>
      </c>
      <c r="R7" s="3">
        <f t="shared" ca="1" si="4"/>
        <v>4.3732902857569401E-2</v>
      </c>
      <c r="S7" s="3">
        <f t="shared" ca="1" si="4"/>
        <v>4.3643623723166901E-2</v>
      </c>
      <c r="T7" s="3">
        <f t="shared" ca="1" si="4"/>
        <v>4.3598926951774981E-2</v>
      </c>
      <c r="V7" s="12">
        <f t="shared" si="1"/>
        <v>2.1333333333333333E-2</v>
      </c>
      <c r="W7" s="12">
        <f t="shared" si="2"/>
        <v>4.2751972898094577E-2</v>
      </c>
      <c r="X7" s="12">
        <f t="shared" ca="1" si="5"/>
        <v>4.3529221472605892E-2</v>
      </c>
      <c r="Z7" s="16">
        <f>10^5</f>
        <v>100000</v>
      </c>
      <c r="AA7" s="17">
        <v>3.7999999999999999E-2</v>
      </c>
    </row>
    <row r="8" spans="2:27">
      <c r="B8" s="26"/>
      <c r="C8" s="8">
        <v>4000</v>
      </c>
      <c r="D8" s="3">
        <f t="shared" ca="1" si="3"/>
        <v>7.6873327205607994E-2</v>
      </c>
      <c r="E8" s="3">
        <f t="shared" ca="1" si="4"/>
        <v>7.0612290779135958E-2</v>
      </c>
      <c r="F8" s="3">
        <f t="shared" ca="1" si="4"/>
        <v>6.4009243869889404E-2</v>
      </c>
      <c r="G8" s="3">
        <f t="shared" ca="1" si="4"/>
        <v>5.6916026654664324E-2</v>
      </c>
      <c r="H8" s="3">
        <f t="shared" ca="1" si="4"/>
        <v>5.3111214082107103E-2</v>
      </c>
      <c r="I8" s="3">
        <f t="shared" ca="1" si="4"/>
        <v>4.9070660454026652E-2</v>
      </c>
      <c r="J8" s="3">
        <f t="shared" ca="1" si="4"/>
        <v>4.7372614434575099E-2</v>
      </c>
      <c r="K8" s="3">
        <f t="shared" ca="1" si="4"/>
        <v>4.5618809749114621E-2</v>
      </c>
      <c r="L8" s="3">
        <f t="shared" ca="1" si="4"/>
        <v>4.3801602903061218E-2</v>
      </c>
      <c r="M8" s="3">
        <f t="shared" ca="1" si="4"/>
        <v>4.1911744966892046E-2</v>
      </c>
      <c r="N8" s="3">
        <f t="shared" ca="1" si="4"/>
        <v>4.0936138910126978E-2</v>
      </c>
      <c r="O8" s="3">
        <f t="shared" ca="1" si="4"/>
        <v>4.0738363364130073E-2</v>
      </c>
      <c r="P8" s="3">
        <f t="shared" ca="1" si="4"/>
        <v>4.0539671217225716E-2</v>
      </c>
      <c r="Q8" s="3">
        <f t="shared" ca="1" si="4"/>
        <v>4.0340048256096196E-2</v>
      </c>
      <c r="R8" s="3">
        <f t="shared" ca="1" si="4"/>
        <v>4.0139479968409053E-2</v>
      </c>
      <c r="S8" s="3">
        <f t="shared" ca="1" si="4"/>
        <v>4.0038836708648162E-2</v>
      </c>
      <c r="T8" s="3">
        <f t="shared" ca="1" si="4"/>
        <v>3.9988424479913777E-2</v>
      </c>
      <c r="V8" s="12">
        <f t="shared" si="1"/>
        <v>1.6E-2</v>
      </c>
      <c r="W8" s="12">
        <f t="shared" si="2"/>
        <v>3.9785193715168081E-2</v>
      </c>
      <c r="X8" s="12">
        <f t="shared" ca="1" si="5"/>
        <v>3.9915881576132281E-2</v>
      </c>
      <c r="Z8" s="16">
        <f>5*10^5</f>
        <v>500000</v>
      </c>
      <c r="AA8" s="17">
        <v>2.4E-2</v>
      </c>
    </row>
    <row r="9" spans="2:27">
      <c r="B9" s="26"/>
      <c r="C9" s="8">
        <v>5000</v>
      </c>
      <c r="D9" s="3">
        <f t="shared" ca="1" si="3"/>
        <v>7.5830041214335273E-2</v>
      </c>
      <c r="E9" s="3">
        <f t="shared" ca="1" si="4"/>
        <v>6.9469359669290742E-2</v>
      </c>
      <c r="F9" s="3">
        <f t="shared" ca="1" si="4"/>
        <v>6.2728231471477047E-2</v>
      </c>
      <c r="G9" s="3">
        <f t="shared" ca="1" si="4"/>
        <v>5.5429514607459325E-2</v>
      </c>
      <c r="H9" s="3">
        <f t="shared" ca="1" si="4"/>
        <v>5.1478298797038552E-2</v>
      </c>
      <c r="I9" s="3">
        <f t="shared" ca="1" si="4"/>
        <v>4.7242340288568101E-2</v>
      </c>
      <c r="J9" s="3">
        <f t="shared" ca="1" si="4"/>
        <v>4.544637728393832E-2</v>
      </c>
      <c r="K9" s="3">
        <f t="shared" ca="1" si="4"/>
        <v>4.3579370377839627E-2</v>
      </c>
      <c r="L9" s="3">
        <f t="shared" ca="1" si="4"/>
        <v>4.1629795037018837E-2</v>
      </c>
      <c r="M9" s="3">
        <f t="shared" ca="1" si="4"/>
        <v>3.9583149044777222E-2</v>
      </c>
      <c r="N9" s="3">
        <f t="shared" ca="1" si="4"/>
        <v>3.8517831952114577E-2</v>
      </c>
      <c r="O9" s="3">
        <f t="shared" ca="1" si="4"/>
        <v>3.8301072773416385E-2</v>
      </c>
      <c r="P9" s="3">
        <f t="shared" ca="1" si="4"/>
        <v>3.8083027063972194E-2</v>
      </c>
      <c r="Q9" s="3">
        <f t="shared" ca="1" si="4"/>
        <v>3.7863670169646764E-2</v>
      </c>
      <c r="R9" s="3">
        <f t="shared" ca="1" si="4"/>
        <v>3.7642976777955528E-2</v>
      </c>
      <c r="S9" s="3">
        <f t="shared" ca="1" si="4"/>
        <v>3.7532120800696185E-2</v>
      </c>
      <c r="T9" s="3">
        <f t="shared" ca="1" si="4"/>
        <v>3.7476564049152707E-2</v>
      </c>
      <c r="V9" s="12">
        <f t="shared" si="1"/>
        <v>1.2800000000000001E-2</v>
      </c>
      <c r="W9" s="12">
        <f t="shared" si="2"/>
        <v>3.7626513118686089E-2</v>
      </c>
      <c r="X9" s="12">
        <f t="shared" ca="1" si="5"/>
        <v>3.7400808630848444E-2</v>
      </c>
      <c r="Z9" s="16">
        <v>800000</v>
      </c>
      <c r="AA9" s="16">
        <v>2.1299999999999999E-2</v>
      </c>
    </row>
    <row r="10" spans="2:27">
      <c r="B10" s="26"/>
      <c r="C10" s="8">
        <v>6000</v>
      </c>
      <c r="D10" s="3">
        <f t="shared" ca="1" si="3"/>
        <v>7.5122135401292284E-2</v>
      </c>
      <c r="E10" s="3">
        <f t="shared" ca="1" si="4"/>
        <v>6.8690285532857068E-2</v>
      </c>
      <c r="F10" s="3">
        <f t="shared" ca="1" si="4"/>
        <v>6.1848903130411192E-2</v>
      </c>
      <c r="G10" s="3">
        <f t="shared" ca="1" si="4"/>
        <v>5.4397067437357075E-2</v>
      </c>
      <c r="H10" s="3">
        <f t="shared" ca="1" si="4"/>
        <v>5.033359445964098E-2</v>
      </c>
      <c r="I10" s="3">
        <f t="shared" ca="1" si="4"/>
        <v>4.5943252833045845E-2</v>
      </c>
      <c r="J10" s="3">
        <f t="shared" ca="1" si="4"/>
        <v>4.4067823198082168E-2</v>
      </c>
      <c r="K10" s="3">
        <f t="shared" ca="1" si="4"/>
        <v>4.2107083137049903E-2</v>
      </c>
      <c r="L10" s="3">
        <f t="shared" ca="1" si="4"/>
        <v>4.0045253413007367E-2</v>
      </c>
      <c r="M10" s="3">
        <f t="shared" ca="1" si="4"/>
        <v>3.786176441603855E-2</v>
      </c>
      <c r="N10" s="3">
        <f t="shared" ca="1" si="4"/>
        <v>3.6716180247866437E-2</v>
      </c>
      <c r="O10" s="3">
        <f t="shared" ca="1" si="4"/>
        <v>3.6482247771736143E-2</v>
      </c>
      <c r="P10" s="3">
        <f t="shared" ca="1" si="4"/>
        <v>3.6246625787833463E-2</v>
      </c>
      <c r="Q10" s="3">
        <f t="shared" ca="1" si="4"/>
        <v>3.6009275842880016E-2</v>
      </c>
      <c r="R10" s="3">
        <f t="shared" ca="1" si="4"/>
        <v>3.5770158241676314E-2</v>
      </c>
      <c r="S10" s="3">
        <f t="shared" ca="1" si="4"/>
        <v>3.5649923814441473E-2</v>
      </c>
      <c r="T10" s="3">
        <f t="shared" ca="1" si="4"/>
        <v>3.5589635412401732E-2</v>
      </c>
      <c r="V10" s="12">
        <f t="shared" si="1"/>
        <v>1.0666666666666666E-2</v>
      </c>
      <c r="W10" s="12">
        <f t="shared" si="2"/>
        <v>3.5949980755031689E-2</v>
      </c>
      <c r="X10" s="12">
        <f t="shared" ca="1" si="5"/>
        <v>3.5510556422015893E-2</v>
      </c>
      <c r="Z10" s="16">
        <v>1000000</v>
      </c>
      <c r="AA10" s="17">
        <v>2.0199999999999999E-2</v>
      </c>
    </row>
    <row r="11" spans="2:27">
      <c r="B11" s="26"/>
      <c r="C11" s="8">
        <v>7000</v>
      </c>
      <c r="D11" s="3">
        <f t="shared" ca="1" si="3"/>
        <v>7.4610092858335114E-2</v>
      </c>
      <c r="E11" s="3">
        <f t="shared" ca="1" si="4"/>
        <v>6.8124852766811961E-2</v>
      </c>
      <c r="F11" s="3">
        <f t="shared" ca="1" si="4"/>
        <v>6.1207327166453038E-2</v>
      </c>
      <c r="G11" s="3">
        <f t="shared" ca="1" si="4"/>
        <v>5.3636853633661358E-2</v>
      </c>
      <c r="H11" s="3">
        <f t="shared" ca="1" si="4"/>
        <v>4.9484406908173288E-2</v>
      </c>
      <c r="I11" s="3">
        <f t="shared" ca="1" si="4"/>
        <v>4.4968650463160967E-2</v>
      </c>
      <c r="J11" s="3">
        <f t="shared" ca="1" si="4"/>
        <v>4.3027183416716304E-2</v>
      </c>
      <c r="K11" s="3">
        <f t="shared" ca="1" si="4"/>
        <v>4.0987174649699087E-2</v>
      </c>
      <c r="L11" s="3">
        <f t="shared" ca="1" si="4"/>
        <v>3.8828359766468083E-2</v>
      </c>
      <c r="M11" s="3">
        <f t="shared" ca="1" si="4"/>
        <v>3.652346275694307E-2</v>
      </c>
      <c r="N11" s="3">
        <f t="shared" ca="1" si="4"/>
        <v>3.5304974076060584E-2</v>
      </c>
      <c r="O11" s="3">
        <f t="shared" ca="1" si="4"/>
        <v>3.5055277249842094E-2</v>
      </c>
      <c r="P11" s="3">
        <f t="shared" ca="1" si="4"/>
        <v>3.4803459696171921E-2</v>
      </c>
      <c r="Q11" s="3">
        <f t="shared" ca="1" si="4"/>
        <v>3.4549465639260646E-2</v>
      </c>
      <c r="R11" s="3">
        <f t="shared" ca="1" si="4"/>
        <v>3.4293237193442697E-2</v>
      </c>
      <c r="S11" s="3">
        <f t="shared" ca="1" si="4"/>
        <v>3.4164266385655527E-2</v>
      </c>
      <c r="T11" s="3">
        <f t="shared" ca="1" si="4"/>
        <v>3.409956347979768E-2</v>
      </c>
      <c r="V11" s="12">
        <f t="shared" si="1"/>
        <v>9.1428571428571435E-3</v>
      </c>
      <c r="W11" s="12">
        <f t="shared" si="2"/>
        <v>3.4590908204716518E-2</v>
      </c>
      <c r="X11" s="12">
        <f t="shared" ca="1" si="5"/>
        <v>3.4017151937771432E-2</v>
      </c>
      <c r="Z11" s="16">
        <f>3*10^6</f>
        <v>3000000</v>
      </c>
      <c r="AA11" s="17">
        <v>1.6E-2</v>
      </c>
    </row>
    <row r="12" spans="2:27">
      <c r="B12" s="26"/>
      <c r="C12" s="8">
        <v>8000</v>
      </c>
      <c r="D12" s="3">
        <f t="shared" ca="1" si="3"/>
        <v>7.4222426558667537E-2</v>
      </c>
      <c r="E12" s="3">
        <f t="shared" ca="1" si="4"/>
        <v>6.7695644808234923E-2</v>
      </c>
      <c r="F12" s="3">
        <f t="shared" ca="1" si="4"/>
        <v>6.0718302842094854E-2</v>
      </c>
      <c r="G12" s="3">
        <f t="shared" ca="1" si="4"/>
        <v>5.305314066286379E-2</v>
      </c>
      <c r="H12" s="3">
        <f t="shared" ca="1" si="4"/>
        <v>4.8828360903544824E-2</v>
      </c>
      <c r="I12" s="3">
        <f t="shared" ca="1" si="4"/>
        <v>4.4208518276856269E-2</v>
      </c>
      <c r="J12" s="3">
        <f t="shared" ca="1" si="4"/>
        <v>4.2211168114607192E-2</v>
      </c>
      <c r="K12" s="3">
        <f t="shared" ca="1" si="4"/>
        <v>4.010303669185384E-2</v>
      </c>
      <c r="L12" s="3">
        <f t="shared" ca="1" si="4"/>
        <v>3.7859250435954936E-2</v>
      </c>
      <c r="M12" s="3">
        <f t="shared" ca="1" si="4"/>
        <v>3.5445336718636526E-2</v>
      </c>
      <c r="N12" s="3">
        <f t="shared" ca="1" si="4"/>
        <v>3.415991118895615E-2</v>
      </c>
      <c r="O12" s="3">
        <f t="shared" ca="1" si="4"/>
        <v>3.3895591529229746E-2</v>
      </c>
      <c r="P12" s="3">
        <f t="shared" ca="1" si="4"/>
        <v>3.3628695463050119E-2</v>
      </c>
      <c r="Q12" s="3">
        <f t="shared" ca="1" si="4"/>
        <v>3.3359146246451588E-2</v>
      </c>
      <c r="R12" s="3">
        <f t="shared" ca="1" si="4"/>
        <v>3.3086863812287051E-2</v>
      </c>
      <c r="S12" s="3">
        <f t="shared" ca="1" si="4"/>
        <v>3.2949671667001489E-2</v>
      </c>
      <c r="T12" s="3">
        <f t="shared" ca="1" si="4"/>
        <v>3.2880808181579041E-2</v>
      </c>
      <c r="V12" s="12">
        <f t="shared" si="1"/>
        <v>8.0000000000000002E-3</v>
      </c>
      <c r="W12" s="12">
        <f t="shared" si="2"/>
        <v>3.3455226775259451E-2</v>
      </c>
      <c r="X12" s="12">
        <f t="shared" ca="1" si="5"/>
        <v>3.2795098473635674E-2</v>
      </c>
      <c r="Z12" s="16">
        <f>1*10^7</f>
        <v>10000000</v>
      </c>
      <c r="AA12" s="17">
        <v>1.2800000000000001E-2</v>
      </c>
    </row>
    <row r="13" spans="2:27" ht="14.4" customHeight="1" thickBot="1">
      <c r="B13" s="26"/>
      <c r="C13" s="9">
        <v>9000</v>
      </c>
      <c r="D13" s="4">
        <f t="shared" ca="1" si="3"/>
        <v>7.3918691064072006E-2</v>
      </c>
      <c r="E13" s="4">
        <f t="shared" ca="1" si="4"/>
        <v>6.7358662273103428E-2</v>
      </c>
      <c r="F13" s="4">
        <f t="shared" ca="1" si="4"/>
        <v>6.0333078261969521E-2</v>
      </c>
      <c r="G13" s="4">
        <f t="shared" ca="1" si="4"/>
        <v>5.2590557412476348E-2</v>
      </c>
      <c r="H13" s="4">
        <f t="shared" ca="1" si="4"/>
        <v>4.8305774269765435E-2</v>
      </c>
      <c r="I13" s="4">
        <f t="shared" ca="1" si="4"/>
        <v>4.3598057162580486E-2</v>
      </c>
      <c r="J13" s="4">
        <f t="shared" ca="1" si="4"/>
        <v>4.1552725582844924E-2</v>
      </c>
      <c r="K13" s="4">
        <f t="shared" ca="1" si="4"/>
        <v>3.9385296912093706E-2</v>
      </c>
      <c r="L13" s="4">
        <f t="shared" ca="1" si="4"/>
        <v>3.7066242408618423E-2</v>
      </c>
      <c r="M13" s="4">
        <f t="shared" ca="1" si="4"/>
        <v>3.4553526608319347E-2</v>
      </c>
      <c r="N13" s="4">
        <f t="shared" ca="1" si="4"/>
        <v>3.3206138851433219E-2</v>
      </c>
      <c r="O13" s="4">
        <f t="shared" ca="1" si="4"/>
        <v>3.2928148510621168E-2</v>
      </c>
      <c r="P13" s="4">
        <f t="shared" ca="1" si="4"/>
        <v>3.2647104708842294E-2</v>
      </c>
      <c r="Q13" s="4">
        <f t="shared" ca="1" si="4"/>
        <v>3.2362905999388736E-2</v>
      </c>
      <c r="R13" s="4">
        <f t="shared" ca="1" si="4"/>
        <v>3.2075445992645911E-2</v>
      </c>
      <c r="S13" s="4">
        <f t="shared" ca="1" si="4"/>
        <v>3.1930458333258867E-2</v>
      </c>
      <c r="T13" s="4">
        <f t="shared" ca="1" si="4"/>
        <v>3.1857643818241986E-2</v>
      </c>
      <c r="V13" s="14">
        <f t="shared" si="1"/>
        <v>7.1111111111111115E-3</v>
      </c>
      <c r="W13" s="14">
        <f t="shared" si="2"/>
        <v>3.2484474639981983E-2</v>
      </c>
      <c r="X13" s="14">
        <f t="shared" ca="1" si="5"/>
        <v>3.176868913814751E-2</v>
      </c>
      <c r="Z13" s="16">
        <f>5.4*10^7</f>
        <v>54000000</v>
      </c>
      <c r="AA13" s="17">
        <v>0.01</v>
      </c>
    </row>
    <row r="14" spans="2:27">
      <c r="B14" s="26"/>
      <c r="C14" s="10">
        <v>10000</v>
      </c>
      <c r="D14" s="5">
        <f t="shared" ca="1" si="3"/>
        <v>7.3674273546550526E-2</v>
      </c>
      <c r="E14" s="5">
        <f t="shared" ca="1" si="4"/>
        <v>6.70870316449272E-2</v>
      </c>
      <c r="F14" s="5">
        <f t="shared" ca="1" si="4"/>
        <v>6.0021711696784795E-2</v>
      </c>
      <c r="G14" s="5">
        <f t="shared" ca="1" si="4"/>
        <v>5.2214785808657585E-2</v>
      </c>
      <c r="H14" s="5">
        <f t="shared" ca="1" si="4"/>
        <v>4.7879400479411804E-2</v>
      </c>
      <c r="I14" s="5">
        <f t="shared" ca="1" si="4"/>
        <v>4.3096446708988066E-2</v>
      </c>
      <c r="J14" s="5">
        <f t="shared" ca="1" si="4"/>
        <v>4.1009423231928833E-2</v>
      </c>
      <c r="K14" s="5">
        <f t="shared" ca="1" si="4"/>
        <v>3.8789834781494913E-2</v>
      </c>
      <c r="L14" s="5">
        <f t="shared" ca="1" si="4"/>
        <v>3.6403508026749423E-2</v>
      </c>
      <c r="M14" s="5">
        <f t="shared" ca="1" si="4"/>
        <v>3.3800580653647265E-2</v>
      </c>
      <c r="N14" s="5">
        <f t="shared" ca="1" si="4"/>
        <v>3.2395466056671054E-2</v>
      </c>
      <c r="O14" s="5">
        <f t="shared" ca="1" si="4"/>
        <v>3.2104616907142738E-2</v>
      </c>
      <c r="P14" s="5">
        <f t="shared" ca="1" si="4"/>
        <v>3.1810218442956506E-2</v>
      </c>
      <c r="Q14" s="5">
        <f t="shared" ca="1" si="4"/>
        <v>3.1512140717960407E-2</v>
      </c>
      <c r="R14" s="5">
        <f t="shared" ca="1" si="4"/>
        <v>3.1210246756320816E-2</v>
      </c>
      <c r="S14" s="5">
        <f t="shared" ca="1" si="4"/>
        <v>3.1057823845928596E-2</v>
      </c>
      <c r="T14" s="5">
        <f t="shared" ca="1" si="4"/>
        <v>3.0981235267560737E-2</v>
      </c>
      <c r="V14" s="13">
        <f t="shared" si="1"/>
        <v>6.4000000000000003E-3</v>
      </c>
      <c r="W14" s="13">
        <f t="shared" si="2"/>
        <v>3.1639999999999995E-2</v>
      </c>
      <c r="X14" s="13">
        <f t="shared" ca="1" si="5"/>
        <v>3.088909637688346E-2</v>
      </c>
    </row>
    <row r="15" spans="2:27">
      <c r="B15" s="26"/>
      <c r="C15" s="10">
        <v>13000</v>
      </c>
      <c r="D15" s="5">
        <f t="shared" ca="1" si="3"/>
        <v>7.31624707893547E-2</v>
      </c>
      <c r="E15" s="5">
        <f t="shared" ca="1" si="4"/>
        <v>6.6516875057926667E-2</v>
      </c>
      <c r="F15" s="5">
        <f t="shared" ca="1" si="4"/>
        <v>5.9365573890082478E-2</v>
      </c>
      <c r="G15" s="5">
        <f t="shared" ca="1" si="4"/>
        <v>5.1417084323515223E-2</v>
      </c>
      <c r="H15" s="5">
        <f t="shared" ca="1" si="4"/>
        <v>4.6968317544814987E-2</v>
      </c>
      <c r="I15" s="5">
        <f t="shared" ca="1" si="4"/>
        <v>4.2012805236449742E-2</v>
      </c>
      <c r="J15" s="5">
        <f t="shared" ca="1" si="4"/>
        <v>3.9827902582182655E-2</v>
      </c>
      <c r="K15" s="5">
        <f t="shared" ca="1" si="4"/>
        <v>3.7483387181242264E-2</v>
      </c>
      <c r="L15" s="5">
        <f t="shared" ca="1" si="4"/>
        <v>3.4931564146315257E-2</v>
      </c>
      <c r="M15" s="5">
        <f t="shared" ca="1" si="4"/>
        <v>3.209826820946883E-2</v>
      </c>
      <c r="N15" s="5">
        <f t="shared" ca="1" si="4"/>
        <v>3.054025099468376E-2</v>
      </c>
      <c r="O15" s="5">
        <f t="shared" ca="1" si="4"/>
        <v>3.021472798913858E-2</v>
      </c>
      <c r="P15" s="5">
        <f t="shared" ca="1" si="4"/>
        <v>2.9884075794414485E-2</v>
      </c>
      <c r="Q15" s="5">
        <f t="shared" ca="1" si="4"/>
        <v>2.9548055870037206E-2</v>
      </c>
      <c r="R15" s="5">
        <f t="shared" ca="1" si="4"/>
        <v>2.9206412991573508E-2</v>
      </c>
      <c r="S15" s="5">
        <f t="shared" ca="1" si="4"/>
        <v>2.903339826741232E-2</v>
      </c>
      <c r="T15" s="5">
        <f t="shared" ca="1" si="4"/>
        <v>2.8946327045222021E-2</v>
      </c>
      <c r="V15" s="12">
        <f t="shared" si="1"/>
        <v>4.9230769230769232E-3</v>
      </c>
      <c r="W15" s="12">
        <f t="shared" si="2"/>
        <v>2.9631295309602422E-2</v>
      </c>
      <c r="X15" s="12">
        <f t="shared" ca="1" si="5"/>
        <v>2.8845009306742719E-2</v>
      </c>
      <c r="Z15" s="28" t="s">
        <v>3</v>
      </c>
      <c r="AA15" s="24"/>
    </row>
    <row r="16" spans="2:27">
      <c r="B16" s="26"/>
      <c r="C16" s="8">
        <v>20000</v>
      </c>
      <c r="D16" s="3">
        <f t="shared" ca="1" si="3"/>
        <v>7.2558013786481731E-2</v>
      </c>
      <c r="E16" s="3">
        <f t="shared" ca="1" si="4"/>
        <v>6.5841006278412648E-2</v>
      </c>
      <c r="F16" s="3">
        <f t="shared" ca="1" si="4"/>
        <v>5.8583000802070968E-2</v>
      </c>
      <c r="G16" s="3">
        <f t="shared" ca="1" si="4"/>
        <v>5.0454418402220542E-2</v>
      </c>
      <c r="H16" s="3">
        <f t="shared" ca="1" si="4"/>
        <v>4.5856856368917981E-2</v>
      </c>
      <c r="I16" s="3">
        <f t="shared" ca="1" si="4"/>
        <v>4.0665806706560358E-2</v>
      </c>
      <c r="J16" s="3">
        <f t="shared" ca="1" si="4"/>
        <v>3.8341774200191948E-2</v>
      </c>
      <c r="K16" s="3">
        <f t="shared" ca="1" si="4"/>
        <v>3.5813119271213487E-2</v>
      </c>
      <c r="L16" s="3">
        <f t="shared" ca="1" si="4"/>
        <v>3.3004658763530759E-2</v>
      </c>
      <c r="M16" s="3">
        <f t="shared" ca="1" si="4"/>
        <v>2.978623224083465E-2</v>
      </c>
      <c r="N16" s="3">
        <f t="shared" ca="1" si="4"/>
        <v>2.7951834880731059E-2</v>
      </c>
      <c r="O16" s="3">
        <f t="shared" ca="1" si="4"/>
        <v>2.7561074663594032E-2</v>
      </c>
      <c r="P16" s="3">
        <f t="shared" ca="1" si="4"/>
        <v>2.7161142169145579E-2</v>
      </c>
      <c r="Q16" s="3">
        <f t="shared" ca="1" si="4"/>
        <v>2.6751411773323755E-2</v>
      </c>
      <c r="R16" s="3">
        <f t="shared" ca="1" si="4"/>
        <v>2.6331191846180577E-2</v>
      </c>
      <c r="S16" s="3">
        <f t="shared" ca="1" si="4"/>
        <v>2.6116911921140004E-2</v>
      </c>
      <c r="T16" s="3">
        <f t="shared" ca="1" si="4"/>
        <v>2.6008685032511285E-2</v>
      </c>
      <c r="V16" s="12">
        <f t="shared" si="1"/>
        <v>3.2000000000000002E-3</v>
      </c>
      <c r="W16" s="12">
        <f t="shared" si="2"/>
        <v>2.6605962578627535E-2</v>
      </c>
      <c r="X16" s="12">
        <f t="shared" ca="1" si="5"/>
        <v>2.5887847501030233E-2</v>
      </c>
      <c r="Z16" s="19">
        <f>1000</f>
        <v>1000</v>
      </c>
      <c r="AA16" s="19">
        <f>100000000</f>
        <v>100000000</v>
      </c>
    </row>
    <row r="17" spans="2:27">
      <c r="B17" s="26"/>
      <c r="C17" s="8">
        <v>30000</v>
      </c>
      <c r="D17" s="3">
        <f t="shared" ca="1" si="3"/>
        <v>7.2179705278280257E-2</v>
      </c>
      <c r="E17" s="3">
        <f t="shared" ca="1" si="4"/>
        <v>6.5416562278433871E-2</v>
      </c>
      <c r="F17" s="3">
        <f t="shared" ca="1" si="4"/>
        <v>5.8088721487174304E-2</v>
      </c>
      <c r="G17" s="3">
        <f t="shared" ca="1" si="4"/>
        <v>4.9839469243481552E-2</v>
      </c>
      <c r="H17" s="3">
        <f t="shared" ca="1" si="4"/>
        <v>4.5139143785640497E-2</v>
      </c>
      <c r="I17" s="3">
        <f t="shared" ca="1" si="4"/>
        <v>3.9778770873470995E-2</v>
      </c>
      <c r="J17" s="3">
        <f t="shared" ca="1" si="4"/>
        <v>3.7350347557236332E-2</v>
      </c>
      <c r="K17" s="3">
        <f t="shared" ca="1" si="4"/>
        <v>3.4677840875669427E-2</v>
      </c>
      <c r="L17" s="3">
        <f t="shared" ca="1" si="4"/>
        <v>3.165659809160299E-2</v>
      </c>
      <c r="M17" s="3">
        <f t="shared" ca="1" si="4"/>
        <v>2.8086844630444578E-2</v>
      </c>
      <c r="N17" s="3">
        <f t="shared" ca="1" si="4"/>
        <v>2.5971802622336969E-2</v>
      </c>
      <c r="O17" s="3">
        <f t="shared" ca="1" si="4"/>
        <v>2.5510793818075975E-2</v>
      </c>
      <c r="P17" s="3">
        <f t="shared" ca="1" si="4"/>
        <v>2.5034447253760434E-2</v>
      </c>
      <c r="Q17" s="3">
        <f t="shared" ca="1" si="4"/>
        <v>2.4541284498667947E-2</v>
      </c>
      <c r="R17" s="3">
        <f t="shared" ca="1" si="4"/>
        <v>2.4029600373428852E-2</v>
      </c>
      <c r="S17" s="3">
        <f t="shared" ca="1" si="4"/>
        <v>2.3766206612522982E-2</v>
      </c>
      <c r="T17" s="3">
        <f t="shared" ca="1" si="4"/>
        <v>2.3632504103217374E-2</v>
      </c>
      <c r="V17" s="12">
        <f t="shared" si="1"/>
        <v>2.1333333333333334E-3</v>
      </c>
      <c r="W17" s="12">
        <f t="shared" si="2"/>
        <v>2.4041201094016387E-2</v>
      </c>
      <c r="X17" s="12">
        <f t="shared" ca="1" si="5"/>
        <v>2.34870999622806E-2</v>
      </c>
      <c r="Z17" s="19">
        <v>1.2E-2</v>
      </c>
      <c r="AA17" s="19">
        <f t="shared" ref="AA17:AA40" si="6">Z17</f>
        <v>1.2E-2</v>
      </c>
    </row>
    <row r="18" spans="2:27">
      <c r="B18" s="26"/>
      <c r="C18" s="8">
        <v>40000</v>
      </c>
      <c r="D18" s="3">
        <f t="shared" ca="1" si="3"/>
        <v>7.1989333507354189E-2</v>
      </c>
      <c r="E18" s="3">
        <f t="shared" ca="1" si="4"/>
        <v>6.520253831990383E-2</v>
      </c>
      <c r="F18" s="3">
        <f t="shared" ca="1" si="4"/>
        <v>5.7838613567469055E-2</v>
      </c>
      <c r="G18" s="3">
        <f t="shared" ca="1" si="4"/>
        <v>4.9526099006425052E-2</v>
      </c>
      <c r="H18" s="3">
        <f t="shared" ca="1" si="4"/>
        <v>4.4770855994831861E-2</v>
      </c>
      <c r="I18" s="3">
        <f t="shared" ca="1" si="4"/>
        <v>3.931756553779174E-2</v>
      </c>
      <c r="J18" s="3">
        <f t="shared" ca="1" si="4"/>
        <v>3.683015446476489E-2</v>
      </c>
      <c r="K18" s="3">
        <f t="shared" ca="1" si="4"/>
        <v>3.4073964873840026E-2</v>
      </c>
      <c r="L18" s="3">
        <f t="shared" ca="1" si="4"/>
        <v>3.0923204112026183E-2</v>
      </c>
      <c r="M18" s="3">
        <f t="shared" ca="1" si="4"/>
        <v>2.7121927160108104E-2</v>
      </c>
      <c r="N18" s="3">
        <f t="shared" ca="1" si="4"/>
        <v>2.4803028119855772E-2</v>
      </c>
      <c r="O18" s="3">
        <f t="shared" ca="1" si="4"/>
        <v>2.4287978267978291E-2</v>
      </c>
      <c r="P18" s="3">
        <f t="shared" ca="1" si="4"/>
        <v>2.3751364738374629E-2</v>
      </c>
      <c r="Q18" s="3">
        <f t="shared" ca="1" si="4"/>
        <v>2.3190560345010606E-2</v>
      </c>
      <c r="R18" s="3">
        <f t="shared" ca="1" si="4"/>
        <v>2.2602417030504359E-2</v>
      </c>
      <c r="S18" s="3">
        <f t="shared" ca="1" si="4"/>
        <v>2.2296932824907027E-2</v>
      </c>
      <c r="T18" s="3">
        <f t="shared" ca="1" si="4"/>
        <v>2.2141105286992143E-2</v>
      </c>
      <c r="V18" s="12">
        <f t="shared" si="1"/>
        <v>1.6000000000000001E-3</v>
      </c>
      <c r="W18" s="12">
        <f t="shared" si="2"/>
        <v>2.237285855674237E-2</v>
      </c>
      <c r="X18" s="12">
        <f t="shared" ca="1" si="5"/>
        <v>2.1973751621352584E-2</v>
      </c>
      <c r="Z18" s="19">
        <v>1.4E-2</v>
      </c>
      <c r="AA18" s="19">
        <f t="shared" si="6"/>
        <v>1.4E-2</v>
      </c>
    </row>
    <row r="19" spans="2:27">
      <c r="B19" s="26"/>
      <c r="C19" s="8">
        <v>50000</v>
      </c>
      <c r="D19" s="3">
        <f t="shared" ca="1" si="3"/>
        <v>7.1874713946332172E-2</v>
      </c>
      <c r="E19" s="3">
        <f t="shared" ca="1" si="4"/>
        <v>6.5073534214854428E-2</v>
      </c>
      <c r="F19" s="3">
        <f t="shared" ca="1" si="4"/>
        <v>5.7687569310034562E-2</v>
      </c>
      <c r="G19" s="3">
        <f t="shared" ca="1" si="4"/>
        <v>4.9336099094515314E-2</v>
      </c>
      <c r="H19" s="3">
        <f t="shared" ca="1" si="4"/>
        <v>4.4546668538041803E-2</v>
      </c>
      <c r="I19" s="3">
        <f t="shared" ca="1" si="4"/>
        <v>3.9034630656117029E-2</v>
      </c>
      <c r="J19" s="3">
        <f t="shared" ca="1" si="4"/>
        <v>3.6509263345644846E-2</v>
      </c>
      <c r="K19" s="3">
        <f t="shared" ca="1" si="4"/>
        <v>3.3698243693590292E-2</v>
      </c>
      <c r="L19" s="3">
        <f t="shared" ca="1" si="4"/>
        <v>3.0460083303321339E-2</v>
      </c>
      <c r="M19" s="3">
        <f t="shared" ca="1" si="4"/>
        <v>2.6493622337063424E-2</v>
      </c>
      <c r="N19" s="3">
        <f t="shared" ca="1" si="4"/>
        <v>2.4018076320620464E-2</v>
      </c>
      <c r="O19" s="3">
        <f t="shared" ca="1" si="4"/>
        <v>2.345950905524578E-2</v>
      </c>
      <c r="P19" s="3">
        <f t="shared" ca="1" si="4"/>
        <v>2.2873305203421679E-2</v>
      </c>
      <c r="Q19" s="3">
        <f t="shared" ca="1" si="4"/>
        <v>2.2255458039860808E-2</v>
      </c>
      <c r="R19" s="3">
        <f t="shared" ca="1" si="4"/>
        <v>2.1600997063203092E-2</v>
      </c>
      <c r="S19" s="3">
        <f t="shared" ca="1" si="4"/>
        <v>2.1258141441318573E-2</v>
      </c>
      <c r="T19" s="3">
        <f t="shared" ca="1" si="4"/>
        <v>2.1082416942082037E-2</v>
      </c>
      <c r="V19" s="12">
        <f t="shared" si="1"/>
        <v>1.2800000000000001E-3</v>
      </c>
      <c r="W19" s="12">
        <f t="shared" si="2"/>
        <v>2.1158943249453992E-2</v>
      </c>
      <c r="X19" s="12">
        <f t="shared" ca="1" si="5"/>
        <v>2.0894945325178688E-2</v>
      </c>
      <c r="Z19" s="19">
        <v>1.6E-2</v>
      </c>
      <c r="AA19" s="19">
        <f t="shared" si="6"/>
        <v>1.6E-2</v>
      </c>
    </row>
    <row r="20" spans="2:27">
      <c r="B20" s="26"/>
      <c r="C20" s="8">
        <v>60000</v>
      </c>
      <c r="D20" s="3">
        <f t="shared" ca="1" si="3"/>
        <v>7.1798134063509822E-2</v>
      </c>
      <c r="E20" s="3">
        <f t="shared" ca="1" si="4"/>
        <v>6.4987282629269172E-2</v>
      </c>
      <c r="F20" s="3">
        <f t="shared" ca="1" si="4"/>
        <v>5.7586457849045002E-2</v>
      </c>
      <c r="G20" s="3">
        <f t="shared" ca="1" si="4"/>
        <v>4.9208585902173065E-2</v>
      </c>
      <c r="H20" s="3">
        <f t="shared" ca="1" si="4"/>
        <v>4.4395821083592732E-2</v>
      </c>
      <c r="I20" s="3">
        <f t="shared" ca="1" si="4"/>
        <v>3.8843274067019457E-2</v>
      </c>
      <c r="J20" s="3">
        <f t="shared" ca="1" si="4"/>
        <v>3.6291424701328748E-2</v>
      </c>
      <c r="K20" s="3">
        <f t="shared" ca="1" si="4"/>
        <v>3.3441673038497988E-2</v>
      </c>
      <c r="L20" s="3">
        <f t="shared" ca="1" si="4"/>
        <v>3.0140478004627665E-2</v>
      </c>
      <c r="M20" s="3">
        <f t="shared" ca="1" si="4"/>
        <v>2.6049844886867329E-2</v>
      </c>
      <c r="N20" s="3">
        <f t="shared" ca="1" si="4"/>
        <v>2.3449418263095621E-2</v>
      </c>
      <c r="O20" s="3">
        <f t="shared" ca="1" si="4"/>
        <v>2.2854774184278951E-2</v>
      </c>
      <c r="P20" s="3">
        <f t="shared" ca="1" si="4"/>
        <v>2.2226671834579811E-2</v>
      </c>
      <c r="Q20" s="3">
        <f t="shared" ca="1" si="4"/>
        <v>2.1559551874446407E-2</v>
      </c>
      <c r="R20" s="3">
        <f t="shared" ca="1" si="4"/>
        <v>2.0846295690054799E-2</v>
      </c>
      <c r="S20" s="3">
        <f t="shared" ca="1" si="4"/>
        <v>2.0469566124208728E-2</v>
      </c>
      <c r="T20" s="3">
        <f t="shared" ca="1" si="4"/>
        <v>2.0275583065608546E-2</v>
      </c>
      <c r="V20" s="12">
        <f t="shared" si="1"/>
        <v>1.0666666666666667E-3</v>
      </c>
      <c r="W20" s="12">
        <f t="shared" si="2"/>
        <v>2.0216159818352061E-2</v>
      </c>
      <c r="X20" s="12">
        <f t="shared" ca="1" si="5"/>
        <v>2.0069371927927696E-2</v>
      </c>
      <c r="Z20" s="19">
        <v>1.7999999999999999E-2</v>
      </c>
      <c r="AA20" s="19">
        <f t="shared" si="6"/>
        <v>1.7999999999999999E-2</v>
      </c>
    </row>
    <row r="21" spans="2:27">
      <c r="B21" s="26"/>
      <c r="C21" s="8">
        <v>70000</v>
      </c>
      <c r="D21" s="3">
        <f t="shared" ca="1" si="3"/>
        <v>7.1743351906782576E-2</v>
      </c>
      <c r="E21" s="3">
        <f t="shared" ca="1" si="4"/>
        <v>6.4925551466025147E-2</v>
      </c>
      <c r="F21" s="3">
        <f t="shared" ca="1" si="4"/>
        <v>5.7514029658777652E-2</v>
      </c>
      <c r="G21" s="3">
        <f t="shared" ca="1" si="4"/>
        <v>4.9117083033509389E-2</v>
      </c>
      <c r="H21" s="3">
        <f t="shared" ca="1" si="4"/>
        <v>4.4287376043069135E-2</v>
      </c>
      <c r="I21" s="3">
        <f t="shared" ca="1" si="4"/>
        <v>3.8705202659530806E-2</v>
      </c>
      <c r="J21" s="3">
        <f t="shared" ca="1" si="4"/>
        <v>3.6133821708010626E-2</v>
      </c>
      <c r="K21" s="3">
        <f t="shared" ca="1" si="4"/>
        <v>3.3255244441979477E-2</v>
      </c>
      <c r="L21" s="3">
        <f t="shared" ca="1" si="4"/>
        <v>2.9906406834250464E-2</v>
      </c>
      <c r="M21" s="3">
        <f t="shared" ca="1" si="4"/>
        <v>2.5718864073285656E-2</v>
      </c>
      <c r="N21" s="3">
        <f t="shared" ca="1" si="4"/>
        <v>2.3016199611500057E-2</v>
      </c>
      <c r="O21" s="3">
        <f t="shared" ca="1" si="4"/>
        <v>2.2391021522959454E-2</v>
      </c>
      <c r="P21" s="3">
        <f t="shared" ca="1" si="4"/>
        <v>2.1726856408418337E-2</v>
      </c>
      <c r="Q21" s="3">
        <f t="shared" ca="1" si="4"/>
        <v>2.1016467157921458E-2</v>
      </c>
      <c r="R21" s="3">
        <f t="shared" ca="1" si="4"/>
        <v>2.0250313082367674E-2</v>
      </c>
      <c r="S21" s="3">
        <f t="shared" ref="E21:T51" ca="1" si="7">(1/(1.14-2*LOG10(S$3+9.35/($C21*SQRT(IF(S21=0,0.03,S21))))))^2</f>
        <v>1.9842459182242318E-2</v>
      </c>
      <c r="T21" s="3">
        <f t="shared" ca="1" si="7"/>
        <v>1.9631498179537105E-2</v>
      </c>
      <c r="V21" s="12">
        <f t="shared" si="1"/>
        <v>9.1428571428571427E-4</v>
      </c>
      <c r="W21" s="12">
        <f t="shared" si="2"/>
        <v>1.9451897159378007E-2</v>
      </c>
      <c r="X21" s="12">
        <f t="shared" ca="1" si="5"/>
        <v>1.9407637513105133E-2</v>
      </c>
      <c r="Z21" s="19">
        <v>2.1999999999999999E-2</v>
      </c>
      <c r="AA21" s="19">
        <f t="shared" si="6"/>
        <v>2.1999999999999999E-2</v>
      </c>
    </row>
    <row r="22" spans="2:27">
      <c r="B22" s="26"/>
      <c r="C22" s="8">
        <v>80000</v>
      </c>
      <c r="D22" s="3">
        <f t="shared" ca="1" si="3"/>
        <v>7.1702220112405984E-2</v>
      </c>
      <c r="E22" s="3">
        <f t="shared" ca="1" si="7"/>
        <v>6.4879185500932315E-2</v>
      </c>
      <c r="F22" s="3">
        <f t="shared" ca="1" si="7"/>
        <v>5.7459595114762674E-2</v>
      </c>
      <c r="G22" s="3">
        <f t="shared" ca="1" si="7"/>
        <v>4.9048222200420231E-2</v>
      </c>
      <c r="H22" s="3">
        <f t="shared" ca="1" si="7"/>
        <v>4.4205654647192894E-2</v>
      </c>
      <c r="I22" s="3">
        <f t="shared" ca="1" si="7"/>
        <v>3.8600870068655646E-2</v>
      </c>
      <c r="J22" s="3">
        <f t="shared" ca="1" si="7"/>
        <v>3.6014487501596457E-2</v>
      </c>
      <c r="K22" s="3">
        <f t="shared" ca="1" si="7"/>
        <v>3.3113617330999913E-2</v>
      </c>
      <c r="L22" s="3">
        <f t="shared" ca="1" si="7"/>
        <v>2.9727491517281074E-2</v>
      </c>
      <c r="M22" s="3">
        <f t="shared" ca="1" si="7"/>
        <v>2.5462134460420113E-2</v>
      </c>
      <c r="N22" s="3">
        <f t="shared" ca="1" si="7"/>
        <v>2.2674045962106475E-2</v>
      </c>
      <c r="O22" s="3">
        <f t="shared" ca="1" si="7"/>
        <v>2.2022614130021573E-2</v>
      </c>
      <c r="P22" s="3">
        <f t="shared" ca="1" si="7"/>
        <v>2.132697176407616E-2</v>
      </c>
      <c r="Q22" s="3">
        <f t="shared" ca="1" si="7"/>
        <v>2.0578117448811797E-2</v>
      </c>
      <c r="R22" s="3">
        <f t="shared" ca="1" si="7"/>
        <v>1.9763861514063803E-2</v>
      </c>
      <c r="S22" s="3">
        <f t="shared" ca="1" si="7"/>
        <v>1.9327131676821284E-2</v>
      </c>
      <c r="T22" s="3">
        <f t="shared" ca="1" si="7"/>
        <v>1.9100235638216313E-2</v>
      </c>
      <c r="V22" s="12">
        <f t="shared" si="1"/>
        <v>8.0000000000000004E-4</v>
      </c>
      <c r="W22" s="12">
        <f t="shared" si="2"/>
        <v>1.8813256559343048E-2</v>
      </c>
      <c r="X22" s="12">
        <f t="shared" ca="1" si="5"/>
        <v>1.8859618334857959E-2</v>
      </c>
      <c r="Z22" s="19">
        <v>2.4E-2</v>
      </c>
      <c r="AA22" s="19">
        <f t="shared" si="6"/>
        <v>2.4E-2</v>
      </c>
    </row>
    <row r="23" spans="2:27" ht="14.4" customHeight="1" thickBot="1">
      <c r="B23" s="26"/>
      <c r="C23" s="9">
        <v>90000</v>
      </c>
      <c r="D23" s="4">
        <f t="shared" ca="1" si="3"/>
        <v>7.1670201856251087E-2</v>
      </c>
      <c r="E23" s="4">
        <f t="shared" ca="1" si="7"/>
        <v>6.4843082856804735E-2</v>
      </c>
      <c r="F23" s="4">
        <f t="shared" ca="1" si="7"/>
        <v>5.7417189535973377E-2</v>
      </c>
      <c r="G23" s="4">
        <f t="shared" ca="1" si="7"/>
        <v>4.8994524004386253E-2</v>
      </c>
      <c r="H23" s="4">
        <f t="shared" ca="1" si="7"/>
        <v>4.4141860929348922E-2</v>
      </c>
      <c r="I23" s="4">
        <f t="shared" ca="1" si="7"/>
        <v>3.851925177547675E-2</v>
      </c>
      <c r="J23" s="4">
        <f t="shared" ca="1" si="7"/>
        <v>3.592098462937731E-2</v>
      </c>
      <c r="K23" s="4">
        <f t="shared" ca="1" si="7"/>
        <v>3.3002357649370991E-2</v>
      </c>
      <c r="L23" s="4">
        <f t="shared" ca="1" si="7"/>
        <v>2.9586246843912572E-2</v>
      </c>
      <c r="M23" s="4">
        <f t="shared" ca="1" si="7"/>
        <v>2.5256993278992831E-2</v>
      </c>
      <c r="N23" s="4">
        <f t="shared" ca="1" si="7"/>
        <v>2.239635922691708E-2</v>
      </c>
      <c r="O23" s="4">
        <f t="shared" ca="1" si="7"/>
        <v>2.1722068245053888E-2</v>
      </c>
      <c r="P23" s="4">
        <f t="shared" ca="1" si="7"/>
        <v>2.0998645197098535E-2</v>
      </c>
      <c r="Q23" s="4">
        <f t="shared" ca="1" si="7"/>
        <v>2.021526845414387E-2</v>
      </c>
      <c r="R23" s="4">
        <f t="shared" ca="1" si="7"/>
        <v>1.9356914122851916E-2</v>
      </c>
      <c r="S23" s="4">
        <f t="shared" ca="1" si="7"/>
        <v>1.8893199183796672E-2</v>
      </c>
      <c r="T23" s="4">
        <f t="shared" ca="1" si="7"/>
        <v>1.8651242851494547E-2</v>
      </c>
      <c r="V23" s="14">
        <f t="shared" si="1"/>
        <v>7.1111111111111115E-4</v>
      </c>
      <c r="W23" s="14">
        <f t="shared" si="2"/>
        <v>1.8267362517159762E-2</v>
      </c>
      <c r="X23" s="14">
        <f t="shared" ca="1" si="5"/>
        <v>1.8394619881295086E-2</v>
      </c>
      <c r="Z23" s="19">
        <v>2.5999999999999999E-2</v>
      </c>
      <c r="AA23" s="19">
        <f t="shared" si="6"/>
        <v>2.5999999999999999E-2</v>
      </c>
    </row>
    <row r="24" spans="2:27">
      <c r="B24" s="26"/>
      <c r="C24" s="10">
        <v>100000</v>
      </c>
      <c r="D24" s="5">
        <f t="shared" ca="1" si="3"/>
        <v>7.1644570285691433E-2</v>
      </c>
      <c r="E24" s="5">
        <f t="shared" ca="1" si="7"/>
        <v>6.4814175314512057E-2</v>
      </c>
      <c r="F24" s="5">
        <f t="shared" ca="1" si="7"/>
        <v>5.7383222289089174E-2</v>
      </c>
      <c r="G24" s="5">
        <f t="shared" ca="1" si="7"/>
        <v>4.8951476755527357E-2</v>
      </c>
      <c r="H24" s="5">
        <f t="shared" ca="1" si="7"/>
        <v>4.4090677943871129E-2</v>
      </c>
      <c r="I24" s="5">
        <f t="shared" ca="1" si="7"/>
        <v>3.8453656048414671E-2</v>
      </c>
      <c r="J24" s="5">
        <f t="shared" ca="1" si="7"/>
        <v>3.5845740926716115E-2</v>
      </c>
      <c r="K24" s="5">
        <f t="shared" ca="1" si="7"/>
        <v>3.2912635625102063E-2</v>
      </c>
      <c r="L24" s="5">
        <f t="shared" ca="1" si="7"/>
        <v>2.9471885427625053E-2</v>
      </c>
      <c r="M24" s="5">
        <f t="shared" ca="1" si="7"/>
        <v>2.5089203556719179E-2</v>
      </c>
      <c r="N24" s="5">
        <f t="shared" ca="1" si="7"/>
        <v>2.2166132982791555E-2</v>
      </c>
      <c r="O24" s="5">
        <f t="shared" ca="1" si="7"/>
        <v>2.1471731530275869E-2</v>
      </c>
      <c r="P24" s="5">
        <f t="shared" ca="1" si="7"/>
        <v>2.072356702222258E-2</v>
      </c>
      <c r="Q24" s="5">
        <f t="shared" ca="1" si="7"/>
        <v>1.9908965750351379E-2</v>
      </c>
      <c r="R24" s="5">
        <f t="shared" ca="1" si="7"/>
        <v>1.9009920661238466E-2</v>
      </c>
      <c r="S24" s="5">
        <f t="shared" ca="1" si="7"/>
        <v>1.8520844420554149E-2</v>
      </c>
      <c r="T24" s="5">
        <f t="shared" ca="1" si="7"/>
        <v>1.8264577940782661E-2</v>
      </c>
      <c r="V24" s="13">
        <f t="shared" si="1"/>
        <v>6.4000000000000005E-4</v>
      </c>
      <c r="W24" s="13">
        <f t="shared" si="2"/>
        <v>1.7792479529022645E-2</v>
      </c>
      <c r="X24" s="13">
        <f t="shared" ca="1" si="5"/>
        <v>1.7992593917693426E-2</v>
      </c>
      <c r="Z24" s="19">
        <v>2.8000000000000001E-2</v>
      </c>
      <c r="AA24" s="19">
        <f t="shared" si="6"/>
        <v>2.8000000000000001E-2</v>
      </c>
    </row>
    <row r="25" spans="2:27">
      <c r="B25" s="26"/>
      <c r="C25" s="8">
        <v>200000</v>
      </c>
      <c r="D25" s="3">
        <f t="shared" ca="1" si="3"/>
        <v>7.1529040752983511E-2</v>
      </c>
      <c r="E25" s="3">
        <f t="shared" ca="1" si="7"/>
        <v>6.4683810044234735E-2</v>
      </c>
      <c r="F25" s="3">
        <f t="shared" ca="1" si="7"/>
        <v>5.7229895240335782E-2</v>
      </c>
      <c r="G25" s="3">
        <f t="shared" ca="1" si="7"/>
        <v>4.8756776026981009E-2</v>
      </c>
      <c r="H25" s="3">
        <f t="shared" ca="1" si="7"/>
        <v>4.3858697666679165E-2</v>
      </c>
      <c r="I25" s="3">
        <f t="shared" ca="1" si="7"/>
        <v>3.8155072272721129E-2</v>
      </c>
      <c r="J25" s="3">
        <f t="shared" ca="1" si="7"/>
        <v>3.5502119437989504E-2</v>
      </c>
      <c r="K25" s="3">
        <f t="shared" ca="1" si="7"/>
        <v>3.2500658941147939E-2</v>
      </c>
      <c r="L25" s="3">
        <f t="shared" ca="1" si="7"/>
        <v>2.8941169898359296E-2</v>
      </c>
      <c r="M25" s="3">
        <f t="shared" ca="1" si="7"/>
        <v>2.428825245625894E-2</v>
      </c>
      <c r="N25" s="3">
        <f t="shared" ca="1" si="7"/>
        <v>2.1020779643423713E-2</v>
      </c>
      <c r="O25" s="3">
        <f t="shared" ca="1" si="7"/>
        <v>2.0207267696601087E-2</v>
      </c>
      <c r="P25" s="3">
        <f t="shared" ca="1" si="7"/>
        <v>1.9306096676247022E-2</v>
      </c>
      <c r="Q25" s="3">
        <f t="shared" ca="1" si="7"/>
        <v>1.8286897967976747E-2</v>
      </c>
      <c r="R25" s="3">
        <f t="shared" ca="1" si="7"/>
        <v>1.7098709926501685E-2</v>
      </c>
      <c r="S25" s="3">
        <f t="shared" ca="1" si="7"/>
        <v>1.6414298558147168E-2</v>
      </c>
      <c r="T25" s="3">
        <f t="shared" ca="1" si="7"/>
        <v>1.6041956567367722E-2</v>
      </c>
      <c r="V25" s="12">
        <f t="shared" si="1"/>
        <v>3.2000000000000003E-4</v>
      </c>
      <c r="W25" s="12">
        <f t="shared" si="2"/>
        <v>1.4961632254430242E-2</v>
      </c>
      <c r="X25" s="12">
        <f t="shared" ca="1" si="5"/>
        <v>1.5639527259958139E-2</v>
      </c>
      <c r="Z25" s="19">
        <v>3.2000000000000001E-2</v>
      </c>
      <c r="AA25" s="19">
        <f t="shared" si="6"/>
        <v>3.2000000000000001E-2</v>
      </c>
    </row>
    <row r="26" spans="2:27">
      <c r="B26" s="26"/>
      <c r="C26" s="8">
        <v>300000</v>
      </c>
      <c r="D26" s="3">
        <f t="shared" ca="1" si="3"/>
        <v>7.1490462419447162E-2</v>
      </c>
      <c r="E26" s="3">
        <f t="shared" ca="1" si="7"/>
        <v>6.4640252031074763E-2</v>
      </c>
      <c r="F26" s="3">
        <f t="shared" ca="1" si="7"/>
        <v>5.717861224483501E-2</v>
      </c>
      <c r="G26" s="3">
        <f t="shared" ca="1" si="7"/>
        <v>4.8691511668193667E-2</v>
      </c>
      <c r="H26" s="3">
        <f t="shared" ca="1" si="7"/>
        <v>4.378075730004384E-2</v>
      </c>
      <c r="I26" s="3">
        <f t="shared" ca="1" si="7"/>
        <v>3.8054271149181397E-2</v>
      </c>
      <c r="J26" s="3">
        <f t="shared" ca="1" si="7"/>
        <v>3.5385684469447135E-2</v>
      </c>
      <c r="K26" s="3">
        <f t="shared" ca="1" si="7"/>
        <v>3.2360191739728816E-2</v>
      </c>
      <c r="L26" s="3">
        <f t="shared" ca="1" si="7"/>
        <v>2.8757967745766368E-2</v>
      </c>
      <c r="M26" s="3">
        <f t="shared" ca="1" si="7"/>
        <v>2.4002081545131112E-2</v>
      </c>
      <c r="N26" s="3">
        <f t="shared" ca="1" si="7"/>
        <v>2.0588535247362229E-2</v>
      </c>
      <c r="O26" s="3">
        <f t="shared" ca="1" si="7"/>
        <v>1.9719689858227443E-2</v>
      </c>
      <c r="P26" s="3">
        <f t="shared" ca="1" si="7"/>
        <v>1.874313023510632E-2</v>
      </c>
      <c r="Q26" s="3">
        <f t="shared" ca="1" si="7"/>
        <v>1.7614484572650271E-2</v>
      </c>
      <c r="R26" s="3">
        <f t="shared" ca="1" si="7"/>
        <v>1.6251453681588635E-2</v>
      </c>
      <c r="S26" s="3">
        <f t="shared" ca="1" si="7"/>
        <v>1.5432735396188391E-2</v>
      </c>
      <c r="T26" s="3">
        <f t="shared" ca="1" si="7"/>
        <v>1.4973272000117624E-2</v>
      </c>
      <c r="V26" s="12">
        <f t="shared" si="1"/>
        <v>2.1333333333333333E-4</v>
      </c>
      <c r="W26" s="12">
        <f t="shared" si="2"/>
        <v>1.3519360882376846E-2</v>
      </c>
      <c r="X26" s="12">
        <f t="shared" ca="1" si="5"/>
        <v>1.4465088050258932E-2</v>
      </c>
      <c r="Z26" s="19">
        <v>3.4000000000000002E-2</v>
      </c>
      <c r="AA26" s="19">
        <f t="shared" si="6"/>
        <v>3.4000000000000002E-2</v>
      </c>
    </row>
    <row r="27" spans="2:27">
      <c r="B27" s="26"/>
      <c r="C27" s="8">
        <v>400000</v>
      </c>
      <c r="D27" s="3">
        <f t="shared" ca="1" si="3"/>
        <v>7.1471160352681459E-2</v>
      </c>
      <c r="E27" s="3">
        <f t="shared" ca="1" si="7"/>
        <v>6.4618453613160987E-2</v>
      </c>
      <c r="F27" s="3">
        <f t="shared" ca="1" si="7"/>
        <v>5.7152937859611445E-2</v>
      </c>
      <c r="G27" s="3">
        <f t="shared" ca="1" si="7"/>
        <v>4.8658810332669368E-2</v>
      </c>
      <c r="H27" s="3">
        <f t="shared" ca="1" si="7"/>
        <v>4.3741670004164769E-2</v>
      </c>
      <c r="I27" s="3">
        <f t="shared" ca="1" si="7"/>
        <v>3.8003625144932461E-2</v>
      </c>
      <c r="J27" s="3">
        <f t="shared" ca="1" si="7"/>
        <v>3.5327098996846627E-2</v>
      </c>
      <c r="K27" s="3">
        <f t="shared" ca="1" si="7"/>
        <v>3.2289340135174448E-2</v>
      </c>
      <c r="L27" s="3">
        <f t="shared" ca="1" si="7"/>
        <v>2.8665096770762382E-2</v>
      </c>
      <c r="M27" s="3">
        <f t="shared" ca="1" si="7"/>
        <v>2.3854851797028641E-2</v>
      </c>
      <c r="N27" s="3">
        <f t="shared" ca="1" si="7"/>
        <v>2.0360257564854052E-2</v>
      </c>
      <c r="O27" s="3">
        <f t="shared" ca="1" si="7"/>
        <v>1.945927707956123E-2</v>
      </c>
      <c r="P27" s="3">
        <f t="shared" ca="1" si="7"/>
        <v>1.8437487462762043E-2</v>
      </c>
      <c r="Q27" s="3">
        <f t="shared" ca="1" si="7"/>
        <v>1.7239878537241505E-2</v>
      </c>
      <c r="R27" s="3">
        <f t="shared" ca="1" si="7"/>
        <v>1.5757297163785742E-2</v>
      </c>
      <c r="S27" s="3">
        <f t="shared" ca="1" si="7"/>
        <v>1.483756293998801E-2</v>
      </c>
      <c r="T27" s="3">
        <f t="shared" ca="1" si="7"/>
        <v>1.4307655190196968E-2</v>
      </c>
      <c r="V27" s="12">
        <f t="shared" si="1"/>
        <v>1.6000000000000001E-4</v>
      </c>
      <c r="W27" s="12">
        <f t="shared" si="2"/>
        <v>1.258118292909474E-2</v>
      </c>
      <c r="X27" s="12">
        <f t="shared" ca="1" si="5"/>
        <v>1.3707968287814679E-2</v>
      </c>
      <c r="Z27" s="19">
        <v>3.5999999999999997E-2</v>
      </c>
      <c r="AA27" s="19">
        <f t="shared" si="6"/>
        <v>3.5999999999999997E-2</v>
      </c>
    </row>
    <row r="28" spans="2:27">
      <c r="B28" s="26"/>
      <c r="C28" s="8">
        <v>500000</v>
      </c>
      <c r="D28" s="3">
        <f t="shared" ca="1" si="3"/>
        <v>7.1459574977121826E-2</v>
      </c>
      <c r="E28" s="3">
        <f t="shared" ca="1" si="7"/>
        <v>6.460536833617693E-2</v>
      </c>
      <c r="F28" s="3">
        <f t="shared" ca="1" si="7"/>
        <v>5.7137522670025177E-2</v>
      </c>
      <c r="G28" s="3">
        <f t="shared" ca="1" si="7"/>
        <v>4.8639167286263142E-2</v>
      </c>
      <c r="H28" s="3">
        <f t="shared" ca="1" si="7"/>
        <v>4.3718179880580438E-2</v>
      </c>
      <c r="I28" s="3">
        <f t="shared" ca="1" si="7"/>
        <v>3.7973158109113961E-2</v>
      </c>
      <c r="J28" s="3">
        <f t="shared" ca="1" si="7"/>
        <v>3.529182824454237E-2</v>
      </c>
      <c r="K28" s="3">
        <f t="shared" ca="1" si="7"/>
        <v>3.2246627466473651E-2</v>
      </c>
      <c r="L28" s="3">
        <f t="shared" ca="1" si="7"/>
        <v>2.8608955259481188E-2</v>
      </c>
      <c r="M28" s="3">
        <f t="shared" ca="1" si="7"/>
        <v>2.3765103598292599E-2</v>
      </c>
      <c r="N28" s="3">
        <f t="shared" ca="1" si="7"/>
        <v>2.021892217004401E-2</v>
      </c>
      <c r="O28" s="3">
        <f t="shared" ca="1" si="7"/>
        <v>1.9296912765294948E-2</v>
      </c>
      <c r="P28" s="3">
        <f t="shared" ca="1" si="7"/>
        <v>1.8244902513582389E-2</v>
      </c>
      <c r="Q28" s="3">
        <f t="shared" ca="1" si="7"/>
        <v>1.6999677369879052E-2</v>
      </c>
      <c r="R28" s="3">
        <f t="shared" ca="1" si="7"/>
        <v>1.5429535139846642E-2</v>
      </c>
      <c r="S28" s="3">
        <f t="shared" ca="1" si="7"/>
        <v>1.4430098253588864E-2</v>
      </c>
      <c r="T28" s="3">
        <f t="shared" ca="1" si="7"/>
        <v>1.3841086551250143E-2</v>
      </c>
      <c r="V28" s="12">
        <f t="shared" si="1"/>
        <v>1.2799999999999999E-4</v>
      </c>
      <c r="W28" s="12">
        <f t="shared" si="2"/>
        <v>1.1898548186525351E-2</v>
      </c>
      <c r="X28" s="12">
        <f t="shared" ca="1" si="5"/>
        <v>1.3159738192800186E-2</v>
      </c>
      <c r="Z28" s="19">
        <v>3.7999999999999999E-2</v>
      </c>
      <c r="AA28" s="19">
        <f t="shared" si="6"/>
        <v>3.7999999999999999E-2</v>
      </c>
    </row>
    <row r="29" spans="2:27">
      <c r="B29" s="26"/>
      <c r="C29" s="8">
        <v>600000</v>
      </c>
      <c r="D29" s="3">
        <f t="shared" ca="1" si="3"/>
        <v>7.1451849668549672E-2</v>
      </c>
      <c r="E29" s="3">
        <f t="shared" ca="1" si="7"/>
        <v>6.4596642220530021E-2</v>
      </c>
      <c r="F29" s="3">
        <f t="shared" ca="1" si="7"/>
        <v>5.7127241469599861E-2</v>
      </c>
      <c r="G29" s="3">
        <f t="shared" ca="1" si="7"/>
        <v>4.8626062626364118E-2</v>
      </c>
      <c r="H29" s="3">
        <f t="shared" ca="1" si="7"/>
        <v>4.3702504007543101E-2</v>
      </c>
      <c r="I29" s="3">
        <f t="shared" ca="1" si="7"/>
        <v>3.7952813445100979E-2</v>
      </c>
      <c r="J29" s="3">
        <f t="shared" ca="1" si="7"/>
        <v>3.5268264226756198E-2</v>
      </c>
      <c r="K29" s="3">
        <f t="shared" ca="1" si="7"/>
        <v>3.2218067371869115E-2</v>
      </c>
      <c r="L29" s="3">
        <f t="shared" ca="1" si="7"/>
        <v>2.8571350002916274E-2</v>
      </c>
      <c r="M29" s="3">
        <f t="shared" ca="1" si="7"/>
        <v>2.3704662637936257E-2</v>
      </c>
      <c r="N29" s="3">
        <f t="shared" ca="1" si="7"/>
        <v>2.0122748390391298E-2</v>
      </c>
      <c r="O29" s="3">
        <f t="shared" ca="1" si="7"/>
        <v>1.9185898162956072E-2</v>
      </c>
      <c r="P29" s="3">
        <f t="shared" ca="1" si="7"/>
        <v>1.8112248590724401E-2</v>
      </c>
      <c r="Q29" s="3">
        <f t="shared" ca="1" si="7"/>
        <v>1.6832113933250573E-2</v>
      </c>
      <c r="R29" s="3">
        <f t="shared" ca="1" si="7"/>
        <v>1.5194836300349178E-2</v>
      </c>
      <c r="S29" s="3">
        <f t="shared" ca="1" si="7"/>
        <v>1.4130504876562191E-2</v>
      </c>
      <c r="T29" s="3">
        <f t="shared" ca="1" si="7"/>
        <v>1.3490745392594931E-2</v>
      </c>
      <c r="V29" s="12">
        <f t="shared" si="1"/>
        <v>1.0666666666666667E-4</v>
      </c>
      <c r="W29" s="12">
        <f t="shared" si="2"/>
        <v>1.1368382102511987E-2</v>
      </c>
      <c r="X29" s="12">
        <f t="shared" ca="1" si="5"/>
        <v>1.273516100458346E-2</v>
      </c>
      <c r="Z29" s="19">
        <v>4.2000000000000003E-2</v>
      </c>
      <c r="AA29" s="19">
        <f t="shared" si="6"/>
        <v>4.2000000000000003E-2</v>
      </c>
    </row>
    <row r="30" spans="2:27">
      <c r="B30" s="26"/>
      <c r="C30" s="8">
        <v>700000</v>
      </c>
      <c r="D30" s="3">
        <f t="shared" ca="1" si="3"/>
        <v>7.1446330745617084E-2</v>
      </c>
      <c r="E30" s="3">
        <f t="shared" ca="1" si="7"/>
        <v>6.4590408007389993E-2</v>
      </c>
      <c r="F30" s="3">
        <f t="shared" ca="1" si="7"/>
        <v>5.7119895593770127E-2</v>
      </c>
      <c r="G30" s="3">
        <f t="shared" ca="1" si="7"/>
        <v>4.8616697593561443E-2</v>
      </c>
      <c r="H30" s="3">
        <f t="shared" ca="1" si="7"/>
        <v>4.3691299201190907E-2</v>
      </c>
      <c r="I30" s="3">
        <f t="shared" ca="1" si="7"/>
        <v>3.7938265162115237E-2</v>
      </c>
      <c r="J30" s="3">
        <f t="shared" ca="1" si="7"/>
        <v>3.5251408077350652E-2</v>
      </c>
      <c r="K30" s="3">
        <f t="shared" ca="1" si="7"/>
        <v>3.219762538043211E-2</v>
      </c>
      <c r="L30" s="3">
        <f t="shared" ca="1" si="7"/>
        <v>2.8544401149086754E-2</v>
      </c>
      <c r="M30" s="3">
        <f t="shared" ca="1" si="7"/>
        <v>2.3661185315171151E-2</v>
      </c>
      <c r="N30" s="3">
        <f t="shared" ca="1" si="7"/>
        <v>2.0053052632345681E-2</v>
      </c>
      <c r="O30" s="3">
        <f t="shared" ca="1" si="7"/>
        <v>1.9105165457753957E-2</v>
      </c>
      <c r="P30" s="3">
        <f t="shared" ca="1" si="7"/>
        <v>1.8015249857479591E-2</v>
      </c>
      <c r="Q30" s="3">
        <f t="shared" ca="1" si="7"/>
        <v>1.6708402712523975E-2</v>
      </c>
      <c r="R30" s="3">
        <f t="shared" ca="1" si="7"/>
        <v>1.5017910617970495E-2</v>
      </c>
      <c r="S30" s="3">
        <f t="shared" ca="1" si="7"/>
        <v>1.3899520648061313E-2</v>
      </c>
      <c r="T30" s="3">
        <f t="shared" ca="1" si="7"/>
        <v>1.3215474601880816E-2</v>
      </c>
      <c r="V30" s="12">
        <f t="shared" si="1"/>
        <v>9.1428571428571432E-5</v>
      </c>
      <c r="W30" s="12">
        <f t="shared" si="2"/>
        <v>1.0938605626071013E-2</v>
      </c>
      <c r="X30" s="12">
        <f t="shared" ca="1" si="5"/>
        <v>1.2391561975333771E-2</v>
      </c>
      <c r="Z30" s="19">
        <v>4.3999999999999997E-2</v>
      </c>
      <c r="AA30" s="19">
        <f t="shared" si="6"/>
        <v>4.3999999999999997E-2</v>
      </c>
    </row>
    <row r="31" spans="2:27">
      <c r="B31" s="26"/>
      <c r="C31" s="8">
        <v>800000</v>
      </c>
      <c r="D31" s="3">
        <f t="shared" ca="1" si="3"/>
        <v>7.1442191090889576E-2</v>
      </c>
      <c r="E31" s="3">
        <f t="shared" ca="1" si="7"/>
        <v>6.4585731650738373E-2</v>
      </c>
      <c r="F31" s="3">
        <f t="shared" ca="1" si="7"/>
        <v>5.7114385003999679E-2</v>
      </c>
      <c r="G31" s="3">
        <f t="shared" ca="1" si="7"/>
        <v>4.8609671321161466E-2</v>
      </c>
      <c r="H31" s="3">
        <f t="shared" ca="1" si="7"/>
        <v>4.3682891348178182E-2</v>
      </c>
      <c r="I31" s="3">
        <f t="shared" ca="1" si="7"/>
        <v>3.7927344966360035E-2</v>
      </c>
      <c r="J31" s="3">
        <f t="shared" ca="1" si="7"/>
        <v>3.5238752403385039E-2</v>
      </c>
      <c r="K31" s="3">
        <f t="shared" ca="1" si="7"/>
        <v>3.2182270843732534E-2</v>
      </c>
      <c r="L31" s="3">
        <f t="shared" ca="1" si="7"/>
        <v>2.8524141027557185E-2</v>
      </c>
      <c r="M31" s="3">
        <f t="shared" ca="1" si="7"/>
        <v>2.362840764009436E-2</v>
      </c>
      <c r="N31" s="3">
        <f t="shared" ca="1" si="7"/>
        <v>2.0000215434702723E-2</v>
      </c>
      <c r="O31" s="3">
        <f t="shared" ca="1" si="7"/>
        <v>1.9043797546656371E-2</v>
      </c>
      <c r="P31" s="3">
        <f t="shared" ca="1" si="7"/>
        <v>1.7941205723383754E-2</v>
      </c>
      <c r="Q31" s="3">
        <f t="shared" ca="1" si="7"/>
        <v>1.6613249504963679E-2</v>
      </c>
      <c r="R31" s="3">
        <f t="shared" ca="1" si="7"/>
        <v>1.4879489993462326E-2</v>
      </c>
      <c r="S31" s="3">
        <f t="shared" ca="1" si="7"/>
        <v>1.3715267265324644E-2</v>
      </c>
      <c r="T31" s="3">
        <f t="shared" ca="1" si="7"/>
        <v>1.2992095884315711E-2</v>
      </c>
      <c r="V31" s="12">
        <f t="shared" si="1"/>
        <v>8.0000000000000007E-5</v>
      </c>
      <c r="W31" s="12">
        <f t="shared" si="2"/>
        <v>1.0579471624726996E-2</v>
      </c>
      <c r="X31" s="12">
        <f t="shared" ca="1" si="5"/>
        <v>1.2104724338628466E-2</v>
      </c>
      <c r="Z31" s="19">
        <v>4.5999999999999999E-2</v>
      </c>
      <c r="AA31" s="19">
        <f t="shared" si="6"/>
        <v>4.5999999999999999E-2</v>
      </c>
    </row>
    <row r="32" spans="2:27" ht="14.4" customHeight="1" thickBot="1">
      <c r="B32" s="26"/>
      <c r="C32" s="9">
        <v>900000</v>
      </c>
      <c r="D32" s="4">
        <f t="shared" ca="1" si="3"/>
        <v>7.1438971085251768E-2</v>
      </c>
      <c r="E32" s="4">
        <f t="shared" ca="1" si="7"/>
        <v>6.4582094071357107E-2</v>
      </c>
      <c r="F32" s="4">
        <f t="shared" ca="1" si="7"/>
        <v>5.7110098288330802E-2</v>
      </c>
      <c r="G32" s="4">
        <f t="shared" ca="1" si="7"/>
        <v>4.8604204961019172E-2</v>
      </c>
      <c r="H32" s="4">
        <f t="shared" ca="1" si="7"/>
        <v>4.3676349386085396E-2</v>
      </c>
      <c r="I32" s="4">
        <f t="shared" ca="1" si="7"/>
        <v>3.7918846145906807E-2</v>
      </c>
      <c r="J32" s="4">
        <f t="shared" ca="1" si="7"/>
        <v>3.522890104281165E-2</v>
      </c>
      <c r="K32" s="4">
        <f t="shared" ca="1" si="7"/>
        <v>3.2170314719819341E-2</v>
      </c>
      <c r="L32" s="4">
        <f t="shared" ca="1" si="7"/>
        <v>2.850835425694042E-2</v>
      </c>
      <c r="M32" s="4">
        <f t="shared" ca="1" si="7"/>
        <v>2.3602812093773979E-2</v>
      </c>
      <c r="N32" s="4">
        <f t="shared" ca="1" si="7"/>
        <v>1.9958776328969589E-2</v>
      </c>
      <c r="O32" s="4">
        <f t="shared" ca="1" si="7"/>
        <v>1.8995566728738318E-2</v>
      </c>
      <c r="P32" s="4">
        <f t="shared" ca="1" si="7"/>
        <v>1.7882816716172523E-2</v>
      </c>
      <c r="Q32" s="4">
        <f t="shared" ca="1" si="7"/>
        <v>1.6537754220861615E-2</v>
      </c>
      <c r="R32" s="4">
        <f t="shared" ca="1" si="7"/>
        <v>1.476809675401632E-2</v>
      </c>
      <c r="S32" s="4">
        <f t="shared" ca="1" si="7"/>
        <v>1.3564461520051802E-2</v>
      </c>
      <c r="T32" s="4">
        <f t="shared" ca="1" si="7"/>
        <v>1.2806386468817753E-2</v>
      </c>
      <c r="V32" s="14">
        <f t="shared" si="1"/>
        <v>7.1111111111111106E-5</v>
      </c>
      <c r="W32" s="14">
        <f t="shared" si="2"/>
        <v>1.0272492845632128E-2</v>
      </c>
      <c r="X32" s="14">
        <f t="shared" ca="1" si="5"/>
        <v>1.1859671758270622E-2</v>
      </c>
      <c r="Z32" s="19">
        <v>4.8000000000000001E-2</v>
      </c>
      <c r="AA32" s="19">
        <f t="shared" si="6"/>
        <v>4.8000000000000001E-2</v>
      </c>
    </row>
    <row r="33" spans="2:27">
      <c r="B33" s="26"/>
      <c r="C33" s="10">
        <v>1000000</v>
      </c>
      <c r="D33" s="5">
        <f t="shared" ca="1" si="3"/>
        <v>7.1436394907961262E-2</v>
      </c>
      <c r="E33" s="5">
        <f t="shared" ca="1" si="7"/>
        <v>6.4579183747513591E-2</v>
      </c>
      <c r="F33" s="5">
        <f t="shared" ca="1" si="7"/>
        <v>5.7106668473704485E-2</v>
      </c>
      <c r="G33" s="5">
        <f t="shared" ca="1" si="7"/>
        <v>4.8599830938794511E-2</v>
      </c>
      <c r="H33" s="5">
        <f t="shared" ca="1" si="7"/>
        <v>4.3671114226622947E-2</v>
      </c>
      <c r="I33" s="5">
        <f t="shared" ca="1" si="7"/>
        <v>3.7912043723069375E-2</v>
      </c>
      <c r="J33" s="5">
        <f t="shared" ca="1" si="7"/>
        <v>3.5221014866743061E-2</v>
      </c>
      <c r="K33" s="5">
        <f t="shared" ca="1" si="7"/>
        <v>3.2160741160538547E-2</v>
      </c>
      <c r="L33" s="5">
        <f t="shared" ca="1" si="7"/>
        <v>2.8495706551794012E-2</v>
      </c>
      <c r="M33" s="5">
        <f t="shared" ca="1" si="7"/>
        <v>2.3582270906714858E-2</v>
      </c>
      <c r="N33" s="5">
        <f t="shared" ca="1" si="7"/>
        <v>1.9925404366759013E-2</v>
      </c>
      <c r="O33" s="5">
        <f t="shared" ca="1" si="7"/>
        <v>1.8956659180583969E-2</v>
      </c>
      <c r="P33" s="5">
        <f t="shared" ca="1" si="7"/>
        <v>1.7835585737512653E-2</v>
      </c>
      <c r="Q33" s="5">
        <f t="shared" ca="1" si="7"/>
        <v>1.6476377227026179E-2</v>
      </c>
      <c r="R33" s="5">
        <f t="shared" ca="1" si="7"/>
        <v>1.4676440940010537E-2</v>
      </c>
      <c r="S33" s="5">
        <f t="shared" ca="1" si="7"/>
        <v>1.3438515643889527E-2</v>
      </c>
      <c r="T33" s="5">
        <f t="shared" ca="1" si="7"/>
        <v>1.2649053469392192E-2</v>
      </c>
      <c r="V33" s="13">
        <f t="shared" si="1"/>
        <v>6.3999999999999997E-5</v>
      </c>
      <c r="W33" s="13">
        <f t="shared" si="2"/>
        <v>1.0005446516772754E-2</v>
      </c>
      <c r="X33" s="13">
        <f t="shared" ca="1" si="5"/>
        <v>1.1646540648628145E-2</v>
      </c>
      <c r="Z33" s="19">
        <v>5.1999999999999998E-2</v>
      </c>
      <c r="AA33" s="19">
        <f t="shared" si="6"/>
        <v>5.1999999999999998E-2</v>
      </c>
    </row>
    <row r="34" spans="2:27">
      <c r="B34" s="26"/>
      <c r="C34" s="8">
        <v>2000000</v>
      </c>
      <c r="D34" s="3">
        <f t="shared" ca="1" si="3"/>
        <v>7.1424800208705883E-2</v>
      </c>
      <c r="E34" s="3">
        <f t="shared" ca="1" si="7"/>
        <v>6.4566084424805062E-2</v>
      </c>
      <c r="F34" s="3">
        <f t="shared" ca="1" si="7"/>
        <v>5.709122944088614E-2</v>
      </c>
      <c r="G34" s="3">
        <f t="shared" ca="1" si="7"/>
        <v>4.8580137550117822E-2</v>
      </c>
      <c r="H34" s="3">
        <f t="shared" ca="1" si="7"/>
        <v>4.3647538489599853E-2</v>
      </c>
      <c r="I34" s="3">
        <f t="shared" ca="1" si="7"/>
        <v>3.7881395682559764E-2</v>
      </c>
      <c r="J34" s="3">
        <f t="shared" ca="1" si="7"/>
        <v>3.5185470903755595E-2</v>
      </c>
      <c r="K34" s="3">
        <f t="shared" ca="1" si="7"/>
        <v>3.2117564395844692E-2</v>
      </c>
      <c r="L34" s="3">
        <f t="shared" ca="1" si="7"/>
        <v>2.843858909196835E-2</v>
      </c>
      <c r="M34" s="3">
        <f t="shared" ca="1" si="7"/>
        <v>2.3489111140255134E-2</v>
      </c>
      <c r="N34" s="3">
        <f t="shared" ca="1" si="7"/>
        <v>1.9772716538230213E-2</v>
      </c>
      <c r="O34" s="3">
        <f t="shared" ca="1" si="7"/>
        <v>1.8777864075728977E-2</v>
      </c>
      <c r="P34" s="3">
        <f t="shared" ca="1" si="7"/>
        <v>1.7616986452610263E-2</v>
      </c>
      <c r="Q34" s="3">
        <f t="shared" ca="1" si="7"/>
        <v>1.6188437492973475E-2</v>
      </c>
      <c r="R34" s="3">
        <f t="shared" ca="1" si="7"/>
        <v>1.4231503454603391E-2</v>
      </c>
      <c r="S34" s="3">
        <f t="shared" ca="1" si="7"/>
        <v>1.2797893104538088E-2</v>
      </c>
      <c r="T34" s="3">
        <f t="shared" ca="1" si="7"/>
        <v>1.1807511069896727E-2</v>
      </c>
      <c r="V34" s="12">
        <f t="shared" si="1"/>
        <v>3.1999999999999999E-5</v>
      </c>
      <c r="W34" s="12">
        <f t="shared" si="2"/>
        <v>8.4135441089669728E-3</v>
      </c>
      <c r="X34" s="12">
        <f t="shared" ca="1" si="5"/>
        <v>1.0374156894360919E-2</v>
      </c>
      <c r="Z34" s="19">
        <v>5.3999999999999999E-2</v>
      </c>
      <c r="AA34" s="19">
        <f t="shared" si="6"/>
        <v>5.3999999999999999E-2</v>
      </c>
    </row>
    <row r="35" spans="2:27">
      <c r="B35" s="26"/>
      <c r="C35" s="10">
        <v>3000000</v>
      </c>
      <c r="D35" s="3">
        <f t="shared" ca="1" si="3"/>
        <v>7.1420934617191914E-2</v>
      </c>
      <c r="E35" s="3">
        <f t="shared" ca="1" si="7"/>
        <v>6.4561716941296685E-2</v>
      </c>
      <c r="F35" s="3">
        <f t="shared" ca="1" si="7"/>
        <v>5.7086081325286253E-2</v>
      </c>
      <c r="G35" s="3">
        <f t="shared" ca="1" si="7"/>
        <v>4.8573569340811723E-2</v>
      </c>
      <c r="H35" s="3">
        <f t="shared" ca="1" si="7"/>
        <v>4.3639673527871854E-2</v>
      </c>
      <c r="I35" s="3">
        <f t="shared" ca="1" si="7"/>
        <v>3.7871166124081895E-2</v>
      </c>
      <c r="J35" s="3">
        <f t="shared" ca="1" si="7"/>
        <v>3.5173602411910129E-2</v>
      </c>
      <c r="K35" s="3">
        <f t="shared" ca="1" si="7"/>
        <v>3.2103137138739544E-2</v>
      </c>
      <c r="L35" s="3">
        <f t="shared" ca="1" si="7"/>
        <v>2.8419475583113175E-2</v>
      </c>
      <c r="M35" s="3">
        <f t="shared" ca="1" si="7"/>
        <v>2.3457789749126965E-2</v>
      </c>
      <c r="N35" s="3">
        <f t="shared" ca="1" si="7"/>
        <v>1.9720872028305615E-2</v>
      </c>
      <c r="O35" s="3">
        <f t="shared" ca="1" si="7"/>
        <v>1.8716852062953919E-2</v>
      </c>
      <c r="P35" s="3">
        <f t="shared" ca="1" si="7"/>
        <v>1.7541775585837104E-2</v>
      </c>
      <c r="Q35" s="3">
        <f t="shared" ca="1" si="7"/>
        <v>1.6087778280228084E-2</v>
      </c>
      <c r="R35" s="3">
        <f t="shared" ca="1" si="7"/>
        <v>1.4069227798344198E-2</v>
      </c>
      <c r="S35" s="3">
        <f t="shared" ca="1" si="7"/>
        <v>1.2549007204906185E-2</v>
      </c>
      <c r="T35" s="3">
        <f t="shared" ca="1" si="7"/>
        <v>1.145481051411917E-2</v>
      </c>
      <c r="V35" s="12">
        <f t="shared" si="1"/>
        <v>2.1333333333333335E-5</v>
      </c>
      <c r="W35" s="12">
        <f t="shared" si="2"/>
        <v>7.6024953143223615E-3</v>
      </c>
      <c r="X35" s="12">
        <f t="shared" ca="1" si="5"/>
        <v>9.7219449724604608E-3</v>
      </c>
      <c r="Z35" s="19">
        <v>5.6000000000000001E-2</v>
      </c>
      <c r="AA35" s="19">
        <f t="shared" si="6"/>
        <v>5.6000000000000001E-2</v>
      </c>
    </row>
    <row r="36" spans="2:27">
      <c r="B36" s="26"/>
      <c r="C36" s="8">
        <v>4000000</v>
      </c>
      <c r="D36" s="3">
        <f t="shared" ca="1" si="3"/>
        <v>7.1419001691670411E-2</v>
      </c>
      <c r="E36" s="3">
        <f t="shared" ca="1" si="7"/>
        <v>6.4559533003938643E-2</v>
      </c>
      <c r="F36" s="3">
        <f t="shared" ca="1" si="7"/>
        <v>5.7083506935089311E-2</v>
      </c>
      <c r="G36" s="3">
        <f t="shared" ca="1" si="7"/>
        <v>4.8570284532785744E-2</v>
      </c>
      <c r="H36" s="3">
        <f t="shared" ca="1" si="7"/>
        <v>4.3635739848070038E-2</v>
      </c>
      <c r="I36" s="3">
        <f t="shared" ca="1" si="7"/>
        <v>3.7866048797836747E-2</v>
      </c>
      <c r="J36" s="3">
        <f t="shared" ca="1" si="7"/>
        <v>3.5167664307189414E-2</v>
      </c>
      <c r="K36" s="3">
        <f t="shared" ca="1" si="7"/>
        <v>3.2095916913624546E-2</v>
      </c>
      <c r="L36" s="3">
        <f t="shared" ca="1" si="7"/>
        <v>2.8409904774571101E-2</v>
      </c>
      <c r="M36" s="3">
        <f t="shared" ca="1" si="7"/>
        <v>2.3442077906268073E-2</v>
      </c>
      <c r="N36" s="3">
        <f t="shared" ca="1" si="7"/>
        <v>1.9694765383405626E-2</v>
      </c>
      <c r="O36" s="3">
        <f t="shared" ca="1" si="7"/>
        <v>1.8686068654108632E-2</v>
      </c>
      <c r="P36" s="3">
        <f t="shared" ca="1" si="7"/>
        <v>1.75037028900243E-2</v>
      </c>
      <c r="Q36" s="3">
        <f t="shared" ca="1" si="7"/>
        <v>1.6036487639395407E-2</v>
      </c>
      <c r="R36" s="3">
        <f t="shared" ca="1" si="7"/>
        <v>1.3984983923103119E-2</v>
      </c>
      <c r="S36" s="3">
        <f t="shared" ca="1" si="7"/>
        <v>1.2415696948249467E-2</v>
      </c>
      <c r="T36" s="3">
        <f t="shared" ca="1" si="7"/>
        <v>1.1257467460253927E-2</v>
      </c>
      <c r="V36" s="12">
        <f t="shared" si="1"/>
        <v>1.5999999999999999E-5</v>
      </c>
      <c r="W36" s="12">
        <f t="shared" si="2"/>
        <v>7.0749190808093356E-3</v>
      </c>
      <c r="X36" s="12">
        <f t="shared" ca="1" si="5"/>
        <v>9.294894488849537E-3</v>
      </c>
      <c r="Z36" s="19">
        <v>5.8000000000000003E-2</v>
      </c>
      <c r="AA36" s="19">
        <f t="shared" si="6"/>
        <v>5.8000000000000003E-2</v>
      </c>
    </row>
    <row r="37" spans="2:27">
      <c r="B37" s="26"/>
      <c r="C37" s="10">
        <v>5000000</v>
      </c>
      <c r="D37" s="3">
        <f t="shared" ca="1" si="3"/>
        <v>7.1417841894825362E-2</v>
      </c>
      <c r="E37" s="3">
        <f t="shared" ca="1" si="7"/>
        <v>6.455822257891583E-2</v>
      </c>
      <c r="F37" s="3">
        <f t="shared" ca="1" si="7"/>
        <v>5.7081962194569111E-2</v>
      </c>
      <c r="G37" s="3">
        <f t="shared" ca="1" si="7"/>
        <v>4.8568313422772798E-2</v>
      </c>
      <c r="H37" s="3">
        <f t="shared" ca="1" si="7"/>
        <v>4.3633379256249417E-2</v>
      </c>
      <c r="I37" s="3">
        <f t="shared" ca="1" si="7"/>
        <v>3.7862977586106739E-2</v>
      </c>
      <c r="J37" s="3">
        <f t="shared" ca="1" si="7"/>
        <v>3.5164100207707043E-2</v>
      </c>
      <c r="K37" s="3">
        <f t="shared" ca="1" si="7"/>
        <v>3.2091582663319747E-2</v>
      </c>
      <c r="L37" s="3">
        <f t="shared" ca="1" si="7"/>
        <v>2.8404157777585391E-2</v>
      </c>
      <c r="M37" s="3">
        <f t="shared" ca="1" si="7"/>
        <v>2.3432634319306742E-2</v>
      </c>
      <c r="N37" s="3">
        <f t="shared" ca="1" si="7"/>
        <v>1.967904151548416E-2</v>
      </c>
      <c r="O37" s="3">
        <f t="shared" ca="1" si="7"/>
        <v>1.8667508164328283E-2</v>
      </c>
      <c r="P37" s="3">
        <f t="shared" ca="1" si="7"/>
        <v>1.7480705915014411E-2</v>
      </c>
      <c r="Q37" s="3">
        <f t="shared" ca="1" si="7"/>
        <v>1.6005393679351554E-2</v>
      </c>
      <c r="R37" s="3">
        <f t="shared" ref="E37:T51" ca="1" si="8">(1/(1.14-2*LOG10(R$3+9.35/($C37*SQRT(IF(R37=0,0.03,R37))))))^2</f>
        <v>1.3933365764137891E-2</v>
      </c>
      <c r="S37" s="3">
        <f t="shared" ca="1" si="8"/>
        <v>1.2332454585196271E-2</v>
      </c>
      <c r="T37" s="3">
        <f t="shared" ca="1" si="8"/>
        <v>1.1130645710627336E-2</v>
      </c>
      <c r="V37" s="12">
        <f t="shared" si="1"/>
        <v>1.2799999999999999E-5</v>
      </c>
      <c r="W37" s="12">
        <f t="shared" si="2"/>
        <v>6.6910453550518894E-3</v>
      </c>
      <c r="X37" s="12">
        <f t="shared" ca="1" si="5"/>
        <v>8.9822662202306523E-3</v>
      </c>
      <c r="Z37" s="19">
        <v>6.5000000000000002E-2</v>
      </c>
      <c r="AA37" s="19">
        <f t="shared" si="6"/>
        <v>6.5000000000000002E-2</v>
      </c>
    </row>
    <row r="38" spans="2:27">
      <c r="B38" s="26"/>
      <c r="C38" s="8">
        <v>6000000</v>
      </c>
      <c r="D38" s="3">
        <f t="shared" ca="1" si="3"/>
        <v>7.1417068679621776E-2</v>
      </c>
      <c r="E38" s="3">
        <f t="shared" ca="1" si="8"/>
        <v>6.455734893614383E-2</v>
      </c>
      <c r="F38" s="3">
        <f t="shared" ca="1" si="8"/>
        <v>5.7080932323213367E-2</v>
      </c>
      <c r="G38" s="3">
        <f t="shared" ca="1" si="8"/>
        <v>4.8566999255571272E-2</v>
      </c>
      <c r="H38" s="3">
        <f t="shared" ca="1" si="8"/>
        <v>4.3631805368329467E-2</v>
      </c>
      <c r="I38" s="3">
        <f t="shared" ca="1" si="8"/>
        <v>3.7860929771409028E-2</v>
      </c>
      <c r="J38" s="3">
        <f t="shared" ca="1" si="8"/>
        <v>3.5161723625689111E-2</v>
      </c>
      <c r="K38" s="3">
        <f t="shared" ca="1" si="8"/>
        <v>3.2088692280761832E-2</v>
      </c>
      <c r="L38" s="3">
        <f t="shared" ca="1" si="8"/>
        <v>2.8400324562938378E-2</v>
      </c>
      <c r="M38" s="3">
        <f t="shared" ca="1" si="8"/>
        <v>2.342633170081657E-2</v>
      </c>
      <c r="N38" s="3">
        <f t="shared" ca="1" si="8"/>
        <v>1.966853377957576E-2</v>
      </c>
      <c r="O38" s="3">
        <f t="shared" ca="1" si="8"/>
        <v>1.8655096421516033E-2</v>
      </c>
      <c r="P38" s="3">
        <f t="shared" ca="1" si="8"/>
        <v>1.746530978129807E-2</v>
      </c>
      <c r="Q38" s="3">
        <f t="shared" ca="1" si="8"/>
        <v>1.5984528280614738E-2</v>
      </c>
      <c r="R38" s="3">
        <f t="shared" ca="1" si="8"/>
        <v>1.389848710642809E-2</v>
      </c>
      <c r="S38" s="3">
        <f t="shared" ca="1" si="8"/>
        <v>1.227548626510251E-2</v>
      </c>
      <c r="T38" s="3">
        <f t="shared" ca="1" si="8"/>
        <v>1.1042057499814557E-2</v>
      </c>
      <c r="V38" s="12">
        <f t="shared" si="1"/>
        <v>1.0666666666666667E-5</v>
      </c>
      <c r="W38" s="12">
        <f t="shared" si="2"/>
        <v>6.3929110567968357E-3</v>
      </c>
      <c r="X38" s="12">
        <f t="shared" ca="1" si="5"/>
        <v>8.738110719176866E-3</v>
      </c>
      <c r="Z38" s="19">
        <v>7.4999999999999997E-2</v>
      </c>
      <c r="AA38" s="19">
        <f t="shared" si="6"/>
        <v>7.4999999999999997E-2</v>
      </c>
    </row>
    <row r="39" spans="2:27">
      <c r="B39" s="26"/>
      <c r="C39" s="10">
        <v>7000000</v>
      </c>
      <c r="D39" s="3">
        <f t="shared" ca="1" si="3"/>
        <v>7.1416516374570457E-2</v>
      </c>
      <c r="E39" s="3">
        <f t="shared" ca="1" si="8"/>
        <v>6.4556724892812528E-2</v>
      </c>
      <c r="F39" s="3">
        <f t="shared" ca="1" si="8"/>
        <v>5.7080196679095176E-2</v>
      </c>
      <c r="G39" s="3">
        <f t="shared" ca="1" si="8"/>
        <v>4.8566060518732433E-2</v>
      </c>
      <c r="H39" s="3">
        <f t="shared" ca="1" si="8"/>
        <v>4.3630681084265238E-2</v>
      </c>
      <c r="I39" s="3">
        <f t="shared" ca="1" si="8"/>
        <v>3.7859466879922227E-2</v>
      </c>
      <c r="J39" s="3">
        <f t="shared" ca="1" si="8"/>
        <v>3.5160025814384786E-2</v>
      </c>
      <c r="K39" s="3">
        <f t="shared" ca="1" si="8"/>
        <v>3.2086627289300763E-2</v>
      </c>
      <c r="L39" s="3">
        <f t="shared" ca="1" si="8"/>
        <v>2.8397585628964835E-2</v>
      </c>
      <c r="M39" s="3">
        <f t="shared" ca="1" si="8"/>
        <v>2.3421826445446464E-2</v>
      </c>
      <c r="N39" s="3">
        <f t="shared" ca="1" si="8"/>
        <v>1.9661015866097246E-2</v>
      </c>
      <c r="O39" s="3">
        <f t="shared" ca="1" si="8"/>
        <v>1.8646212110985699E-2</v>
      </c>
      <c r="P39" s="3">
        <f t="shared" ca="1" si="8"/>
        <v>1.7454280500985651E-2</v>
      </c>
      <c r="Q39" s="3">
        <f t="shared" ca="1" si="8"/>
        <v>1.5969556814523118E-2</v>
      </c>
      <c r="R39" s="3">
        <f t="shared" ca="1" si="8"/>
        <v>1.3873338591341381E-2</v>
      </c>
      <c r="S39" s="3">
        <f t="shared" ca="1" si="8"/>
        <v>1.2234031775092953E-2</v>
      </c>
      <c r="T39" s="3">
        <f t="shared" ca="1" si="8"/>
        <v>1.0976596677871904E-2</v>
      </c>
      <c r="V39" s="12">
        <f t="shared" si="1"/>
        <v>9.1428571428571422E-6</v>
      </c>
      <c r="W39" s="12">
        <f t="shared" si="2"/>
        <v>6.1512299834993829E-3</v>
      </c>
      <c r="X39" s="12">
        <f t="shared" ca="1" si="5"/>
        <v>8.539178081247845E-3</v>
      </c>
      <c r="Z39" s="19">
        <v>2300</v>
      </c>
      <c r="AA39" s="19">
        <v>2300</v>
      </c>
    </row>
    <row r="40" spans="2:27">
      <c r="B40" s="26"/>
      <c r="C40" s="8">
        <v>8000000</v>
      </c>
      <c r="D40" s="3">
        <f t="shared" ca="1" si="3"/>
        <v>7.1416102141145674E-2</v>
      </c>
      <c r="E40" s="3">
        <f t="shared" ca="1" si="8"/>
        <v>6.4556256853324653E-2</v>
      </c>
      <c r="F40" s="3">
        <f t="shared" ca="1" si="8"/>
        <v>5.7079644934126775E-2</v>
      </c>
      <c r="G40" s="3">
        <f t="shared" ca="1" si="8"/>
        <v>4.8565356440954305E-2</v>
      </c>
      <c r="H40" s="3">
        <f t="shared" ca="1" si="8"/>
        <v>4.3629837828330381E-2</v>
      </c>
      <c r="I40" s="3">
        <f t="shared" ca="1" si="8"/>
        <v>3.7858369620115233E-2</v>
      </c>
      <c r="J40" s="3">
        <f t="shared" ca="1" si="8"/>
        <v>3.5158752317648839E-2</v>
      </c>
      <c r="K40" s="3">
        <f t="shared" ca="1" si="8"/>
        <v>3.2085078309064735E-2</v>
      </c>
      <c r="L40" s="3">
        <f t="shared" ca="1" si="8"/>
        <v>2.8395530923030123E-2</v>
      </c>
      <c r="M40" s="3">
        <f t="shared" ca="1" si="8"/>
        <v>2.341844564949342E-2</v>
      </c>
      <c r="N40" s="3">
        <f t="shared" ca="1" si="8"/>
        <v>1.9655370630980103E-2</v>
      </c>
      <c r="O40" s="3">
        <f t="shared" ca="1" si="8"/>
        <v>1.8639538558689984E-2</v>
      </c>
      <c r="P40" s="3">
        <f t="shared" ca="1" si="8"/>
        <v>1.7445990903473898E-2</v>
      </c>
      <c r="Q40" s="3">
        <f t="shared" ca="1" si="8"/>
        <v>1.5958290868830129E-2</v>
      </c>
      <c r="R40" s="3">
        <f t="shared" ca="1" si="8"/>
        <v>1.3854345926601784E-2</v>
      </c>
      <c r="S40" s="3">
        <f t="shared" ca="1" si="8"/>
        <v>1.2202506698315295E-2</v>
      </c>
      <c r="T40" s="3">
        <f t="shared" ca="1" si="8"/>
        <v>1.0926216977382055E-2</v>
      </c>
      <c r="V40" s="12">
        <f t="shared" si="1"/>
        <v>7.9999999999999996E-6</v>
      </c>
      <c r="W40" s="12">
        <f t="shared" si="2"/>
        <v>5.9492740932626754E-3</v>
      </c>
      <c r="X40" s="12">
        <f t="shared" ca="1" si="5"/>
        <v>8.3721642545762625E-3</v>
      </c>
      <c r="Z40" s="19">
        <v>0.01</v>
      </c>
      <c r="AA40" s="19">
        <v>0.08</v>
      </c>
    </row>
    <row r="41" spans="2:27" ht="15" customHeight="1" thickBot="1">
      <c r="B41" s="26"/>
      <c r="C41" s="9">
        <v>9000000</v>
      </c>
      <c r="D41" s="4">
        <f t="shared" ca="1" si="3"/>
        <v>7.141577995684556E-2</v>
      </c>
      <c r="E41" s="4">
        <f t="shared" ca="1" si="8"/>
        <v>6.4555892818469754E-2</v>
      </c>
      <c r="F41" s="4">
        <f t="shared" ca="1" si="8"/>
        <v>5.7079215792111039E-2</v>
      </c>
      <c r="G41" s="4">
        <f t="shared" ca="1" si="8"/>
        <v>4.856480881000013E-2</v>
      </c>
      <c r="H41" s="4">
        <f t="shared" ca="1" si="8"/>
        <v>4.3629181937185485E-2</v>
      </c>
      <c r="I41" s="4">
        <f t="shared" ca="1" si="8"/>
        <v>3.7857516141769694E-2</v>
      </c>
      <c r="J41" s="4">
        <f t="shared" ca="1" si="8"/>
        <v>3.5157761738234476E-2</v>
      </c>
      <c r="K41" s="4">
        <f t="shared" ca="1" si="8"/>
        <v>3.2083873406374259E-2</v>
      </c>
      <c r="L41" s="4">
        <f t="shared" ca="1" si="8"/>
        <v>2.8393932518705745E-2</v>
      </c>
      <c r="M41" s="4">
        <f t="shared" ca="1" si="8"/>
        <v>2.341581504118416E-2</v>
      </c>
      <c r="N41" s="4">
        <f t="shared" ca="1" si="8"/>
        <v>1.9650975851705471E-2</v>
      </c>
      <c r="O41" s="4">
        <f t="shared" ca="1" si="8"/>
        <v>1.8634341881110589E-2</v>
      </c>
      <c r="P41" s="4">
        <f t="shared" ca="1" si="8"/>
        <v>1.7439532936363401E-2</v>
      </c>
      <c r="Q41" s="4">
        <f t="shared" ca="1" si="8"/>
        <v>1.594950616995067E-2</v>
      </c>
      <c r="R41" s="4">
        <f t="shared" ca="1" si="8"/>
        <v>1.3839494857247751E-2</v>
      </c>
      <c r="S41" s="4">
        <f t="shared" ca="1" si="8"/>
        <v>1.2177721968263836E-2</v>
      </c>
      <c r="T41" s="4">
        <f t="shared" ca="1" si="8"/>
        <v>1.0886228017101526E-2</v>
      </c>
      <c r="V41" s="14">
        <f t="shared" si="1"/>
        <v>7.111111111111111E-6</v>
      </c>
      <c r="W41" s="14">
        <f t="shared" si="2"/>
        <v>5.7766472398211545E-3</v>
      </c>
      <c r="X41" s="14">
        <f t="shared" ca="1" si="5"/>
        <v>8.2287850027239953E-3</v>
      </c>
    </row>
    <row r="42" spans="2:27">
      <c r="B42" s="26"/>
      <c r="C42" s="10">
        <v>10000000</v>
      </c>
      <c r="D42" s="5">
        <f t="shared" ca="1" si="3"/>
        <v>7.1415522207674484E-2</v>
      </c>
      <c r="E42" s="5">
        <f t="shared" ca="1" si="8"/>
        <v>6.4555601587976283E-2</v>
      </c>
      <c r="F42" s="5">
        <f t="shared" ca="1" si="8"/>
        <v>5.7078872474062854E-2</v>
      </c>
      <c r="G42" s="5">
        <f t="shared" ca="1" si="8"/>
        <v>4.856437069584623E-2</v>
      </c>
      <c r="H42" s="5">
        <f t="shared" ca="1" si="8"/>
        <v>4.3628657208254713E-2</v>
      </c>
      <c r="I42" s="5">
        <f t="shared" ca="1" si="8"/>
        <v>3.7856833325035387E-2</v>
      </c>
      <c r="J42" s="5">
        <f t="shared" ca="1" si="8"/>
        <v>3.5156969223061593E-2</v>
      </c>
      <c r="K42" s="5">
        <f t="shared" ca="1" si="8"/>
        <v>3.2082909395816553E-2</v>
      </c>
      <c r="L42" s="5">
        <f t="shared" ca="1" si="8"/>
        <v>2.8392653606342411E-2</v>
      </c>
      <c r="M42" s="5">
        <f t="shared" ca="1" si="8"/>
        <v>2.3413709860624094E-2</v>
      </c>
      <c r="N42" s="5">
        <f t="shared" ca="1" si="8"/>
        <v>1.9647457477077319E-2</v>
      </c>
      <c r="O42" s="5">
        <f t="shared" ca="1" si="8"/>
        <v>1.8630180662193453E-2</v>
      </c>
      <c r="P42" s="5">
        <f t="shared" ca="1" si="8"/>
        <v>1.7434359921382869E-2</v>
      </c>
      <c r="Q42" s="5">
        <f t="shared" ca="1" si="8"/>
        <v>1.5942464282570734E-2</v>
      </c>
      <c r="R42" s="5">
        <f t="shared" ca="1" si="8"/>
        <v>1.3827563636478872E-2</v>
      </c>
      <c r="S42" s="5">
        <f t="shared" ca="1" si="8"/>
        <v>1.2157723072605073E-2</v>
      </c>
      <c r="T42" s="5">
        <f t="shared" ca="1" si="8"/>
        <v>1.0853706773695286E-2</v>
      </c>
      <c r="V42" s="13">
        <f t="shared" si="1"/>
        <v>6.3999999999999997E-6</v>
      </c>
      <c r="W42" s="13">
        <f t="shared" si="2"/>
        <v>5.6264760533631516E-3</v>
      </c>
      <c r="X42" s="13">
        <f t="shared" ca="1" si="5"/>
        <v>8.103552371798212E-3</v>
      </c>
    </row>
    <row r="43" spans="2:27">
      <c r="B43" s="26"/>
      <c r="C43" s="8">
        <v>20000000</v>
      </c>
      <c r="D43" s="3">
        <f t="shared" ca="1" si="3"/>
        <v>7.141436231736302E-2</v>
      </c>
      <c r="E43" s="3">
        <f t="shared" ca="1" si="8"/>
        <v>6.4554291022048488E-2</v>
      </c>
      <c r="F43" s="3">
        <f t="shared" ca="1" si="8"/>
        <v>5.7077327494050548E-2</v>
      </c>
      <c r="G43" s="3">
        <f t="shared" ca="1" si="8"/>
        <v>4.8562399078843958E-2</v>
      </c>
      <c r="H43" s="3">
        <f t="shared" ca="1" si="8"/>
        <v>4.3626295751870631E-2</v>
      </c>
      <c r="I43" s="3">
        <f t="shared" ca="1" si="8"/>
        <v>3.7853760274986076E-2</v>
      </c>
      <c r="J43" s="3">
        <f t="shared" ca="1" si="8"/>
        <v>3.5153402336516884E-2</v>
      </c>
      <c r="K43" s="3">
        <f t="shared" ca="1" si="8"/>
        <v>3.2078570375347663E-2</v>
      </c>
      <c r="L43" s="3">
        <f t="shared" ca="1" si="8"/>
        <v>2.8386896421078948E-2</v>
      </c>
      <c r="M43" s="3">
        <f t="shared" ca="1" si="8"/>
        <v>2.3404228901653876E-2</v>
      </c>
      <c r="N43" s="3">
        <f t="shared" ca="1" si="8"/>
        <v>1.9631596622010406E-2</v>
      </c>
      <c r="O43" s="3">
        <f t="shared" ca="1" si="8"/>
        <v>1.8611412326088161E-2</v>
      </c>
      <c r="P43" s="3">
        <f t="shared" ca="1" si="8"/>
        <v>1.7411007817786317E-2</v>
      </c>
      <c r="Q43" s="3">
        <f t="shared" ca="1" si="8"/>
        <v>1.5910618788032516E-2</v>
      </c>
      <c r="R43" s="3">
        <f t="shared" ca="1" si="8"/>
        <v>1.3773307260777768E-2</v>
      </c>
      <c r="S43" s="3">
        <f t="shared" ca="1" si="8"/>
        <v>1.2065763423161961E-2</v>
      </c>
      <c r="T43" s="3">
        <f t="shared" ca="1" si="8"/>
        <v>1.0701029513602025E-2</v>
      </c>
      <c r="V43" s="12">
        <f t="shared" si="1"/>
        <v>3.1999999999999999E-6</v>
      </c>
      <c r="W43" s="12">
        <f t="shared" si="2"/>
        <v>4.7312835437839434E-3</v>
      </c>
      <c r="X43" s="12">
        <f t="shared" ca="1" si="5"/>
        <v>7.3451810760258489E-3</v>
      </c>
    </row>
    <row r="44" spans="2:27">
      <c r="B44" s="26"/>
      <c r="C44" s="10">
        <v>30000000</v>
      </c>
      <c r="D44" s="3">
        <f t="shared" ca="1" si="3"/>
        <v>7.1413975680334654E-2</v>
      </c>
      <c r="E44" s="3">
        <f t="shared" ca="1" si="8"/>
        <v>6.455385415629962E-2</v>
      </c>
      <c r="F44" s="3">
        <f t="shared" ca="1" si="8"/>
        <v>5.707681248296774E-2</v>
      </c>
      <c r="G44" s="3">
        <f t="shared" ca="1" si="8"/>
        <v>4.8561741835604258E-2</v>
      </c>
      <c r="H44" s="3">
        <f t="shared" ca="1" si="8"/>
        <v>4.3625508535659371E-2</v>
      </c>
      <c r="I44" s="3">
        <f t="shared" ca="1" si="8"/>
        <v>3.7852735788657908E-2</v>
      </c>
      <c r="J44" s="3">
        <f t="shared" ca="1" si="8"/>
        <v>3.5152213167613092E-2</v>
      </c>
      <c r="K44" s="3">
        <f t="shared" ca="1" si="8"/>
        <v>3.2077123681199131E-2</v>
      </c>
      <c r="L44" s="3">
        <f t="shared" ca="1" si="8"/>
        <v>2.8384976602459276E-2</v>
      </c>
      <c r="M44" s="3">
        <f t="shared" ca="1" si="8"/>
        <v>2.3401065796399494E-2</v>
      </c>
      <c r="N44" s="3">
        <f t="shared" ca="1" si="8"/>
        <v>1.9626299386784951E-2</v>
      </c>
      <c r="O44" s="3">
        <f t="shared" ca="1" si="8"/>
        <v>1.8605140553798201E-2</v>
      </c>
      <c r="P44" s="3">
        <f t="shared" ca="1" si="8"/>
        <v>1.7403196859298111E-2</v>
      </c>
      <c r="Q44" s="3">
        <f t="shared" ca="1" si="8"/>
        <v>1.5899945923022553E-2</v>
      </c>
      <c r="R44" s="3">
        <f t="shared" ca="1" si="8"/>
        <v>1.3755011410991638E-2</v>
      </c>
      <c r="S44" s="3">
        <f t="shared" ca="1" si="8"/>
        <v>1.2034362700588247E-2</v>
      </c>
      <c r="T44" s="3">
        <f t="shared" ca="1" si="8"/>
        <v>1.0647621172672745E-2</v>
      </c>
      <c r="V44" s="12">
        <f t="shared" si="1"/>
        <v>2.1333333333333334E-6</v>
      </c>
      <c r="W44" s="12">
        <f t="shared" si="2"/>
        <v>4.2751972898094591E-3</v>
      </c>
      <c r="X44" s="12">
        <f t="shared" ca="1" si="5"/>
        <v>6.9488931726120039E-3</v>
      </c>
    </row>
    <row r="45" spans="2:27">
      <c r="B45" s="26"/>
      <c r="C45" s="8">
        <v>40000000</v>
      </c>
      <c r="D45" s="3">
        <f t="shared" ca="1" si="3"/>
        <v>7.1413782360522038E-2</v>
      </c>
      <c r="E45" s="3">
        <f t="shared" ca="1" si="8"/>
        <v>6.4553635721467648E-2</v>
      </c>
      <c r="F45" s="3">
        <f t="shared" ca="1" si="8"/>
        <v>5.7076554974098824E-2</v>
      </c>
      <c r="G45" s="3">
        <f t="shared" ca="1" si="8"/>
        <v>4.8561413206938665E-2</v>
      </c>
      <c r="H45" s="3">
        <f t="shared" ca="1" si="8"/>
        <v>4.3625114915535938E-2</v>
      </c>
      <c r="I45" s="3">
        <f t="shared" ca="1" si="8"/>
        <v>3.785222351992798E-2</v>
      </c>
      <c r="J45" s="3">
        <f t="shared" ca="1" si="8"/>
        <v>3.5151618544386365E-2</v>
      </c>
      <c r="K45" s="3">
        <f t="shared" ca="1" si="8"/>
        <v>3.2076400267717131E-2</v>
      </c>
      <c r="L45" s="3">
        <f t="shared" ca="1" si="8"/>
        <v>2.8384016551121976E-2</v>
      </c>
      <c r="M45" s="3">
        <f t="shared" ca="1" si="8"/>
        <v>2.3399483720553744E-2</v>
      </c>
      <c r="N45" s="3">
        <f t="shared" ca="1" si="8"/>
        <v>1.9623648833706937E-2</v>
      </c>
      <c r="O45" s="3">
        <f t="shared" ca="1" si="8"/>
        <v>1.8602001717143428E-2</v>
      </c>
      <c r="P45" s="3">
        <f t="shared" ca="1" si="8"/>
        <v>1.739928629832567E-2</v>
      </c>
      <c r="Q45" s="3">
        <f t="shared" ca="1" si="8"/>
        <v>1.5894598560100656E-2</v>
      </c>
      <c r="R45" s="3">
        <f t="shared" ca="1" si="8"/>
        <v>1.374582317816395E-2</v>
      </c>
      <c r="S45" s="3">
        <f t="shared" ca="1" si="8"/>
        <v>1.2018515825459666E-2</v>
      </c>
      <c r="T45" s="3">
        <f t="shared" ca="1" si="8"/>
        <v>1.0620401812072853E-2</v>
      </c>
      <c r="V45" s="12">
        <f t="shared" si="1"/>
        <v>1.5999999999999999E-6</v>
      </c>
      <c r="W45" s="12">
        <f t="shared" si="2"/>
        <v>3.9785193715168076E-3</v>
      </c>
      <c r="X45" s="12">
        <f t="shared" ca="1" si="5"/>
        <v>6.6864513502529728E-3</v>
      </c>
    </row>
    <row r="46" spans="2:27">
      <c r="B46" s="26"/>
      <c r="C46" s="8">
        <v>50000000</v>
      </c>
      <c r="D46" s="3">
        <f t="shared" ca="1" si="3"/>
        <v>7.1413666368219011E-2</v>
      </c>
      <c r="E46" s="3">
        <f t="shared" ca="1" si="8"/>
        <v>6.4553504659942043E-2</v>
      </c>
      <c r="F46" s="3">
        <f t="shared" ca="1" si="8"/>
        <v>5.7076400467712625E-2</v>
      </c>
      <c r="G46" s="3">
        <f t="shared" ca="1" si="8"/>
        <v>4.8561216027484574E-2</v>
      </c>
      <c r="H46" s="3">
        <f t="shared" ca="1" si="8"/>
        <v>4.3624878739615909E-2</v>
      </c>
      <c r="I46" s="3">
        <f t="shared" ca="1" si="8"/>
        <v>3.7851916150508001E-2</v>
      </c>
      <c r="J46" s="3">
        <f t="shared" ca="1" si="8"/>
        <v>3.5151261758040536E-2</v>
      </c>
      <c r="K46" s="3">
        <f t="shared" ca="1" si="8"/>
        <v>3.2075966198373086E-2</v>
      </c>
      <c r="L46" s="3">
        <f t="shared" ca="1" si="8"/>
        <v>2.8383440474856046E-2</v>
      </c>
      <c r="M46" s="3">
        <f t="shared" ca="1" si="8"/>
        <v>2.3398534307498463E-2</v>
      </c>
      <c r="N46" s="3">
        <f t="shared" ca="1" si="8"/>
        <v>1.9622057881571991E-2</v>
      </c>
      <c r="O46" s="3">
        <f t="shared" ca="1" si="8"/>
        <v>1.8600117469156949E-2</v>
      </c>
      <c r="P46" s="3">
        <f t="shared" ca="1" si="8"/>
        <v>1.7396938331266244E-2</v>
      </c>
      <c r="Q46" s="3">
        <f t="shared" ca="1" si="8"/>
        <v>1.5891386630135094E-2</v>
      </c>
      <c r="R46" s="3">
        <f t="shared" ca="1" si="8"/>
        <v>1.3740297226822537E-2</v>
      </c>
      <c r="S46" s="3">
        <f t="shared" ca="1" si="8"/>
        <v>1.2008959954862152E-2</v>
      </c>
      <c r="T46" s="3">
        <f t="shared" ca="1" si="8"/>
        <v>1.0603899109559009E-2</v>
      </c>
      <c r="V46" s="12">
        <f t="shared" si="1"/>
        <v>1.28E-6</v>
      </c>
      <c r="W46" s="12">
        <f t="shared" si="2"/>
        <v>3.76265131186861E-3</v>
      </c>
      <c r="X46" s="12">
        <f t="shared" ca="1" si="5"/>
        <v>6.4927772668923849E-3</v>
      </c>
    </row>
    <row r="47" spans="2:27">
      <c r="B47" s="26"/>
      <c r="C47" s="8">
        <v>60000000</v>
      </c>
      <c r="D47" s="3">
        <f t="shared" ca="1" si="3"/>
        <v>7.1413589039843822E-2</v>
      </c>
      <c r="E47" s="3">
        <f t="shared" ca="1" si="8"/>
        <v>6.4553417285330594E-2</v>
      </c>
      <c r="F47" s="3">
        <f t="shared" ca="1" si="8"/>
        <v>5.7076297463011468E-2</v>
      </c>
      <c r="G47" s="3">
        <f t="shared" ca="1" si="8"/>
        <v>4.8561084573575664E-2</v>
      </c>
      <c r="H47" s="3">
        <f t="shared" ca="1" si="8"/>
        <v>4.3624721287399991E-2</v>
      </c>
      <c r="I47" s="3">
        <f t="shared" ca="1" si="8"/>
        <v>3.7851711234151972E-2</v>
      </c>
      <c r="J47" s="3">
        <f t="shared" ca="1" si="8"/>
        <v>3.5151023895305465E-2</v>
      </c>
      <c r="K47" s="3">
        <f t="shared" ca="1" si="8"/>
        <v>3.2075676809953185E-2</v>
      </c>
      <c r="L47" s="3">
        <f t="shared" ca="1" si="8"/>
        <v>2.838305640506552E-2</v>
      </c>
      <c r="M47" s="3">
        <f t="shared" ca="1" si="8"/>
        <v>2.3397901295622692E-2</v>
      </c>
      <c r="N47" s="3">
        <f t="shared" ca="1" si="8"/>
        <v>1.9620996988144106E-2</v>
      </c>
      <c r="O47" s="3">
        <f t="shared" ca="1" si="8"/>
        <v>1.8598860909243786E-2</v>
      </c>
      <c r="P47" s="3">
        <f t="shared" ca="1" si="8"/>
        <v>1.7395372339524082E-2</v>
      </c>
      <c r="Q47" s="3">
        <f t="shared" ca="1" si="8"/>
        <v>1.5889243876699353E-2</v>
      </c>
      <c r="R47" s="3">
        <f t="shared" ca="1" si="8"/>
        <v>1.3736607811254476E-2</v>
      </c>
      <c r="S47" s="3">
        <f t="shared" ca="1" si="8"/>
        <v>1.2002569276284417E-2</v>
      </c>
      <c r="T47" s="3">
        <f t="shared" ca="1" si="8"/>
        <v>1.059282450815797E-2</v>
      </c>
      <c r="V47" s="12">
        <f t="shared" si="1"/>
        <v>1.0666666666666667E-6</v>
      </c>
      <c r="W47" s="12">
        <f t="shared" si="2"/>
        <v>3.5949980755031682E-3</v>
      </c>
      <c r="X47" s="12">
        <f t="shared" ca="1" si="5"/>
        <v>6.3405828985604283E-3</v>
      </c>
    </row>
    <row r="48" spans="2:27">
      <c r="B48" s="26"/>
      <c r="C48" s="8">
        <v>70000000</v>
      </c>
      <c r="D48" s="3">
        <f t="shared" ca="1" si="3"/>
        <v>7.1413533805205348E-2</v>
      </c>
      <c r="E48" s="3">
        <f t="shared" ca="1" si="8"/>
        <v>6.4553354874766058E-2</v>
      </c>
      <c r="F48" s="3">
        <f t="shared" ca="1" si="8"/>
        <v>5.7076223888007614E-2</v>
      </c>
      <c r="G48" s="3">
        <f t="shared" ca="1" si="8"/>
        <v>4.8560990677466276E-2</v>
      </c>
      <c r="H48" s="3">
        <f t="shared" ca="1" si="8"/>
        <v>4.3624608820746556E-2</v>
      </c>
      <c r="I48" s="3">
        <f t="shared" ca="1" si="8"/>
        <v>3.7851564863656255E-2</v>
      </c>
      <c r="J48" s="3">
        <f t="shared" ca="1" si="8"/>
        <v>3.5150853990818895E-2</v>
      </c>
      <c r="K48" s="3">
        <f t="shared" ca="1" si="8"/>
        <v>3.2075470099600434E-2</v>
      </c>
      <c r="L48" s="3">
        <f t="shared" ca="1" si="8"/>
        <v>2.8382782060219845E-2</v>
      </c>
      <c r="M48" s="3">
        <f t="shared" ca="1" si="8"/>
        <v>2.3397449110067428E-2</v>
      </c>
      <c r="N48" s="3">
        <f t="shared" ca="1" si="8"/>
        <v>1.9620239080359383E-2</v>
      </c>
      <c r="O48" s="3">
        <f t="shared" ca="1" si="8"/>
        <v>1.8597963173046714E-2</v>
      </c>
      <c r="P48" s="3">
        <f t="shared" ca="1" si="8"/>
        <v>1.7394253440435058E-2</v>
      </c>
      <c r="Q48" s="3">
        <f t="shared" ca="1" si="8"/>
        <v>1.5887712619037691E-2</v>
      </c>
      <c r="R48" s="3">
        <f t="shared" ca="1" si="8"/>
        <v>1.3733969837612181E-2</v>
      </c>
      <c r="S48" s="3">
        <f t="shared" ca="1" si="8"/>
        <v>1.1997994596660745E-2</v>
      </c>
      <c r="T48" s="3">
        <f t="shared" ca="1" si="8"/>
        <v>1.0584877931040565E-2</v>
      </c>
      <c r="V48" s="12">
        <f t="shared" si="1"/>
        <v>9.142857142857143E-7</v>
      </c>
      <c r="W48" s="12">
        <f t="shared" si="2"/>
        <v>3.4590908204716526E-3</v>
      </c>
      <c r="X48" s="12">
        <f t="shared" ca="1" si="5"/>
        <v>6.2159542708891489E-3</v>
      </c>
    </row>
    <row r="49" spans="2:24">
      <c r="B49" s="26"/>
      <c r="C49" s="8">
        <v>80000000</v>
      </c>
      <c r="D49" s="3">
        <f t="shared" ca="1" si="3"/>
        <v>7.1413492379180085E-2</v>
      </c>
      <c r="E49" s="3">
        <f t="shared" ca="1" si="8"/>
        <v>6.4553308066772688E-2</v>
      </c>
      <c r="F49" s="3">
        <f t="shared" ca="1" si="8"/>
        <v>5.7076168706635864E-2</v>
      </c>
      <c r="G49" s="3">
        <f t="shared" ca="1" si="8"/>
        <v>4.8560920255132568E-2</v>
      </c>
      <c r="H49" s="3">
        <f t="shared" ca="1" si="8"/>
        <v>4.3624524470327192E-2</v>
      </c>
      <c r="I49" s="3">
        <f t="shared" ca="1" si="8"/>
        <v>3.7851455084871179E-2</v>
      </c>
      <c r="J49" s="3">
        <f t="shared" ca="1" si="8"/>
        <v>3.5150726561068706E-2</v>
      </c>
      <c r="K49" s="3">
        <f t="shared" ca="1" si="8"/>
        <v>3.2075315064463109E-2</v>
      </c>
      <c r="L49" s="3">
        <f t="shared" ca="1" si="8"/>
        <v>2.8382576296509601E-2</v>
      </c>
      <c r="M49" s="3">
        <f t="shared" ca="1" si="8"/>
        <v>2.3397109952186135E-2</v>
      </c>
      <c r="N49" s="3">
        <f t="shared" ca="1" si="8"/>
        <v>1.9619670580170029E-2</v>
      </c>
      <c r="O49" s="3">
        <f t="shared" ca="1" si="8"/>
        <v>1.8597289765080877E-2</v>
      </c>
      <c r="P49" s="3">
        <f t="shared" ca="1" si="8"/>
        <v>1.7393414083581804E-2</v>
      </c>
      <c r="Q49" s="3">
        <f t="shared" ca="1" si="8"/>
        <v>1.5886563781910189E-2</v>
      </c>
      <c r="R49" s="3">
        <f t="shared" ca="1" si="8"/>
        <v>1.3731989890272732E-2</v>
      </c>
      <c r="S49" s="3">
        <f t="shared" ca="1" si="8"/>
        <v>1.1994558142650921E-2</v>
      </c>
      <c r="T49" s="3">
        <f t="shared" ca="1" si="8"/>
        <v>1.0578898038620457E-2</v>
      </c>
      <c r="V49" s="12">
        <f t="shared" si="1"/>
        <v>7.9999999999999996E-7</v>
      </c>
      <c r="W49" s="12">
        <f t="shared" si="2"/>
        <v>3.3455226775259456E-3</v>
      </c>
      <c r="X49" s="12">
        <f t="shared" ca="1" si="5"/>
        <v>6.1108810240221058E-3</v>
      </c>
    </row>
    <row r="50" spans="2:24" ht="15" customHeight="1" thickBot="1">
      <c r="B50" s="26"/>
      <c r="C50" s="9">
        <v>90000000</v>
      </c>
      <c r="D50" s="4">
        <f t="shared" ca="1" si="3"/>
        <v>7.1413460158910758E-2</v>
      </c>
      <c r="E50" s="4">
        <f t="shared" ca="1" si="8"/>
        <v>6.4553271660514236E-2</v>
      </c>
      <c r="F50" s="4">
        <f t="shared" ca="1" si="8"/>
        <v>5.7076125787720734E-2</v>
      </c>
      <c r="G50" s="4">
        <f t="shared" ca="1" si="8"/>
        <v>4.8560865482057215E-2</v>
      </c>
      <c r="H50" s="4">
        <f t="shared" ca="1" si="8"/>
        <v>4.3624458864191078E-2</v>
      </c>
      <c r="I50" s="4">
        <f t="shared" ca="1" si="8"/>
        <v>3.7851369700830431E-2</v>
      </c>
      <c r="J50" s="4">
        <f t="shared" ca="1" si="8"/>
        <v>3.5150627448219861E-2</v>
      </c>
      <c r="K50" s="4">
        <f t="shared" ca="1" si="8"/>
        <v>3.2075194480172382E-2</v>
      </c>
      <c r="L50" s="4">
        <f t="shared" ca="1" si="8"/>
        <v>2.8382416255060133E-2</v>
      </c>
      <c r="M50" s="4">
        <f t="shared" ca="1" si="8"/>
        <v>2.3396846151631168E-2</v>
      </c>
      <c r="N50" s="4">
        <f t="shared" ca="1" si="8"/>
        <v>1.9619228372247752E-2</v>
      </c>
      <c r="O50" s="4">
        <f t="shared" ca="1" si="8"/>
        <v>1.8596765940600137E-2</v>
      </c>
      <c r="P50" s="4">
        <f t="shared" ca="1" si="8"/>
        <v>1.7392761142250582E-2</v>
      </c>
      <c r="Q50" s="4">
        <f t="shared" ca="1" si="8"/>
        <v>1.5885670008331507E-2</v>
      </c>
      <c r="R50" s="4">
        <f t="shared" ca="1" si="8"/>
        <v>1.3730449060412202E-2</v>
      </c>
      <c r="S50" s="4">
        <f t="shared" ca="1" si="8"/>
        <v>1.1991882107709252E-2</v>
      </c>
      <c r="T50" s="4">
        <f t="shared" ca="1" si="8"/>
        <v>1.0574235098115356E-2</v>
      </c>
      <c r="V50" s="14">
        <f t="shared" si="1"/>
        <v>7.1111111111111116E-7</v>
      </c>
      <c r="W50" s="14">
        <f t="shared" si="2"/>
        <v>3.248447463998199E-3</v>
      </c>
      <c r="X50" s="14">
        <f t="shared" ca="1" si="5"/>
        <v>6.0203501293240626E-3</v>
      </c>
    </row>
    <row r="51" spans="2:24">
      <c r="B51" s="27"/>
      <c r="C51" s="10">
        <v>100000000</v>
      </c>
      <c r="D51" s="5">
        <f t="shared" ca="1" si="3"/>
        <v>7.1413434382677971E-2</v>
      </c>
      <c r="E51" s="5">
        <f t="shared" ca="1" si="8"/>
        <v>6.455324253548135E-2</v>
      </c>
      <c r="F51" s="5">
        <f t="shared" ca="1" si="8"/>
        <v>5.7076091452544282E-2</v>
      </c>
      <c r="G51" s="5">
        <f t="shared" ca="1" si="8"/>
        <v>4.8560821663502993E-2</v>
      </c>
      <c r="H51" s="5">
        <f t="shared" ca="1" si="8"/>
        <v>4.3624406379121905E-2</v>
      </c>
      <c r="I51" s="5">
        <f t="shared" ca="1" si="8"/>
        <v>3.7851301393256882E-2</v>
      </c>
      <c r="J51" s="5">
        <f t="shared" ca="1" si="8"/>
        <v>3.5150548157423599E-2</v>
      </c>
      <c r="K51" s="5">
        <f t="shared" ca="1" si="8"/>
        <v>3.2075098011853924E-2</v>
      </c>
      <c r="L51" s="5">
        <f t="shared" ca="1" si="8"/>
        <v>2.8382288220005332E-2</v>
      </c>
      <c r="M51" s="5">
        <f t="shared" ca="1" si="8"/>
        <v>2.3396635104198704E-2</v>
      </c>
      <c r="N51" s="5">
        <f t="shared" ca="1" si="8"/>
        <v>1.9618874580006065E-2</v>
      </c>
      <c r="O51" s="5">
        <f t="shared" ca="1" si="8"/>
        <v>1.8596346841484975E-2</v>
      </c>
      <c r="P51" s="5">
        <f t="shared" ca="1" si="8"/>
        <v>1.7392238720979076E-2</v>
      </c>
      <c r="Q51" s="5">
        <f t="shared" ca="1" si="8"/>
        <v>1.5884954842219124E-2</v>
      </c>
      <c r="R51" s="5">
        <f t="shared" ca="1" si="8"/>
        <v>1.372921584721546E-2</v>
      </c>
      <c r="S51" s="5">
        <f t="shared" ca="1" si="8"/>
        <v>1.1989739234770858E-2</v>
      </c>
      <c r="T51" s="5">
        <f t="shared" ca="1" si="8"/>
        <v>1.0570497198660354E-2</v>
      </c>
      <c r="V51" s="13">
        <f t="shared" si="1"/>
        <v>6.4000000000000001E-7</v>
      </c>
      <c r="W51" s="13">
        <f t="shared" si="2"/>
        <v>3.1639999999999988E-3</v>
      </c>
      <c r="X51" s="13">
        <f t="shared" ca="1" si="5"/>
        <v>5.9410264533681966E-3</v>
      </c>
    </row>
  </sheetData>
  <mergeCells count="8">
    <mergeCell ref="B2:C3"/>
    <mergeCell ref="Z2:AA2"/>
    <mergeCell ref="B4:B51"/>
    <mergeCell ref="Z15:AA15"/>
    <mergeCell ref="D2:T2"/>
    <mergeCell ref="V2:V3"/>
    <mergeCell ref="X2:X3"/>
    <mergeCell ref="W2:W3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Moody-Diagramm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Wolff</dc:creator>
  <cp:lastModifiedBy>Phillip Wolff</cp:lastModifiedBy>
  <dcterms:created xsi:type="dcterms:W3CDTF">2026-09-18T07:33:25Z</dcterms:created>
  <dcterms:modified xsi:type="dcterms:W3CDTF">2026-09-18T13:53:24Z</dcterms:modified>
</cp:coreProperties>
</file>
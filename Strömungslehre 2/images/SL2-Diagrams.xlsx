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lip\Documents\Git\Project-FoSa\Strömungslehre 2\images\"/>
    </mc:Choice>
  </mc:AlternateContent>
  <xr:revisionPtr revIDLastSave="0" documentId="13_ncr:1_{8E570561-F534-4684-9540-3A1EFD6A82F6}" xr6:coauthVersionLast="47" xr6:coauthVersionMax="47" xr10:uidLastSave="{00000000-0000-0000-0000-000000000000}"/>
  <bookViews>
    <workbookView xWindow="-108" yWindow="-108" windowWidth="46296" windowHeight="18696" activeTab="3" xr2:uid="{FA5394E7-ED4E-4AC0-A8BA-0A137B0856E0}"/>
  </bookViews>
  <sheets>
    <sheet name="Adiabate-Vorgänge" sheetId="4" r:id="rId1"/>
    <sheet name="xliv" sheetId="1" r:id="rId2"/>
    <sheet name="xlv" sheetId="3" r:id="rId3"/>
    <sheet name="xlvi" sheetId="5" r:id="rId4"/>
  </sheets>
  <definedNames>
    <definedName name="solver_eng" localSheetId="2" hidden="1">1</definedName>
    <definedName name="solver_eng" localSheetId="3" hidden="1">1</definedName>
    <definedName name="solver_neg" localSheetId="2" hidden="1">1</definedName>
    <definedName name="solver_neg" localSheetId="3" hidden="1">1</definedName>
    <definedName name="solver_num" localSheetId="2" hidden="1">0</definedName>
    <definedName name="solver_num" localSheetId="3" hidden="1">0</definedName>
    <definedName name="solver_opt" localSheetId="2" hidden="1">xlv!$D$5</definedName>
    <definedName name="solver_opt" localSheetId="3" hidden="1">xlvi!#REF!</definedName>
    <definedName name="solver_typ" localSheetId="2" hidden="1">1</definedName>
    <definedName name="solver_typ" localSheetId="3" hidden="1">1</definedName>
    <definedName name="solver_val" localSheetId="2" hidden="1">0</definedName>
    <definedName name="solver_val" localSheetId="3" hidden="1">0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5" l="1"/>
  <c r="O36" i="5"/>
  <c r="O35" i="5"/>
  <c r="O34" i="5"/>
  <c r="O33" i="5"/>
  <c r="O32" i="5"/>
  <c r="K25" i="5"/>
  <c r="K26" i="5"/>
  <c r="K27" i="5"/>
  <c r="K28" i="5"/>
  <c r="M30" i="5"/>
  <c r="M31" i="5"/>
  <c r="M32" i="5"/>
  <c r="M33" i="5"/>
  <c r="M34" i="5"/>
  <c r="M35" i="5"/>
  <c r="M36" i="5"/>
  <c r="M29" i="5"/>
  <c r="K30" i="5"/>
  <c r="K31" i="5"/>
  <c r="K32" i="5"/>
  <c r="K33" i="5"/>
  <c r="K34" i="5"/>
  <c r="K35" i="5"/>
  <c r="K36" i="5"/>
  <c r="K2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19" i="5"/>
  <c r="C5" i="5"/>
  <c r="C11" i="5" s="1"/>
  <c r="C4" i="5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18" i="3"/>
  <c r="D18" i="3" s="1"/>
  <c r="F18" i="3"/>
  <c r="C19" i="3"/>
  <c r="D19" i="3"/>
  <c r="E19" i="3"/>
  <c r="F19" i="3"/>
  <c r="C20" i="3"/>
  <c r="D20" i="3"/>
  <c r="E20" i="3"/>
  <c r="F20" i="3"/>
  <c r="G20" i="3"/>
  <c r="C21" i="3"/>
  <c r="D21" i="3" s="1"/>
  <c r="C22" i="3"/>
  <c r="E22" i="3" s="1"/>
  <c r="D22" i="3"/>
  <c r="C23" i="3"/>
  <c r="H23" i="3" s="1"/>
  <c r="D23" i="3"/>
  <c r="E23" i="3"/>
  <c r="F23" i="3"/>
  <c r="G23" i="3"/>
  <c r="C24" i="3"/>
  <c r="D24" i="3"/>
  <c r="E24" i="3"/>
  <c r="F24" i="3"/>
  <c r="G24" i="3"/>
  <c r="H24" i="3"/>
  <c r="C25" i="3"/>
  <c r="D25" i="3"/>
  <c r="E25" i="3"/>
  <c r="F25" i="3"/>
  <c r="G25" i="3"/>
  <c r="H25" i="3"/>
  <c r="C26" i="3"/>
  <c r="D26" i="3" s="1"/>
  <c r="E26" i="3"/>
  <c r="F26" i="3"/>
  <c r="G26" i="3"/>
  <c r="H26" i="3"/>
  <c r="I26" i="3"/>
  <c r="C27" i="3"/>
  <c r="D27" i="3"/>
  <c r="E27" i="3"/>
  <c r="F27" i="3"/>
  <c r="G27" i="3"/>
  <c r="H27" i="3"/>
  <c r="I27" i="3"/>
  <c r="C28" i="3"/>
  <c r="D28" i="3"/>
  <c r="E28" i="3"/>
  <c r="F28" i="3"/>
  <c r="G28" i="3"/>
  <c r="H28" i="3"/>
  <c r="I28" i="3"/>
  <c r="C29" i="3"/>
  <c r="D29" i="3"/>
  <c r="E29" i="3"/>
  <c r="F29" i="3"/>
  <c r="G29" i="3"/>
  <c r="H29" i="3"/>
  <c r="I29" i="3"/>
  <c r="J29" i="3"/>
  <c r="C30" i="3"/>
  <c r="H30" i="3" s="1"/>
  <c r="D30" i="3"/>
  <c r="E30" i="3"/>
  <c r="F30" i="3"/>
  <c r="G30" i="3"/>
  <c r="C31" i="3"/>
  <c r="E31" i="3" s="1"/>
  <c r="D31" i="3"/>
  <c r="J31" i="3"/>
  <c r="C32" i="3"/>
  <c r="D32" i="3"/>
  <c r="E32" i="3"/>
  <c r="F32" i="3"/>
  <c r="G32" i="3"/>
  <c r="H32" i="3"/>
  <c r="I32" i="3"/>
  <c r="J32" i="3"/>
  <c r="C33" i="3"/>
  <c r="I33" i="3" s="1"/>
  <c r="C34" i="3"/>
  <c r="D34" i="3"/>
  <c r="E34" i="3"/>
  <c r="F34" i="3"/>
  <c r="G34" i="3"/>
  <c r="H34" i="3"/>
  <c r="I34" i="3"/>
  <c r="J34" i="3"/>
  <c r="K34" i="3"/>
  <c r="C35" i="3"/>
  <c r="K35" i="3" s="1"/>
  <c r="D35" i="3"/>
  <c r="E35" i="3"/>
  <c r="C36" i="3"/>
  <c r="D36" i="3" s="1"/>
  <c r="E36" i="3"/>
  <c r="F36" i="3"/>
  <c r="G36" i="3"/>
  <c r="H36" i="3"/>
  <c r="I36" i="3"/>
  <c r="J36" i="3"/>
  <c r="K36" i="3"/>
  <c r="C37" i="3"/>
  <c r="H37" i="3" s="1"/>
  <c r="D37" i="3"/>
  <c r="E37" i="3"/>
  <c r="F37" i="3"/>
  <c r="G37" i="3"/>
  <c r="C38" i="3"/>
  <c r="D38" i="3" s="1"/>
  <c r="J38" i="3"/>
  <c r="K38" i="3"/>
  <c r="C39" i="3"/>
  <c r="J39" i="3" s="1"/>
  <c r="D39" i="3"/>
  <c r="E39" i="3"/>
  <c r="F39" i="3"/>
  <c r="G39" i="3"/>
  <c r="H39" i="3"/>
  <c r="I39" i="3"/>
  <c r="C40" i="3"/>
  <c r="F40" i="3" s="1"/>
  <c r="D40" i="3"/>
  <c r="E40" i="3"/>
  <c r="J40" i="3"/>
  <c r="K40" i="3"/>
  <c r="C41" i="3"/>
  <c r="D41" i="3"/>
  <c r="E41" i="3"/>
  <c r="F41" i="3"/>
  <c r="G41" i="3"/>
  <c r="H41" i="3"/>
  <c r="I41" i="3"/>
  <c r="J41" i="3"/>
  <c r="K41" i="3"/>
  <c r="C42" i="3"/>
  <c r="D42" i="3"/>
  <c r="E42" i="3"/>
  <c r="F42" i="3"/>
  <c r="G42" i="3"/>
  <c r="H42" i="3"/>
  <c r="I42" i="3"/>
  <c r="J42" i="3"/>
  <c r="K42" i="3"/>
  <c r="C43" i="3"/>
  <c r="D43" i="3"/>
  <c r="E43" i="3"/>
  <c r="F43" i="3"/>
  <c r="G43" i="3"/>
  <c r="H43" i="3"/>
  <c r="I43" i="3"/>
  <c r="J43" i="3"/>
  <c r="K43" i="3"/>
  <c r="C44" i="3"/>
  <c r="J44" i="3" s="1"/>
  <c r="D44" i="3"/>
  <c r="C45" i="3"/>
  <c r="D45" i="3"/>
  <c r="E45" i="3"/>
  <c r="F45" i="3"/>
  <c r="G45" i="3"/>
  <c r="H45" i="3"/>
  <c r="I45" i="3"/>
  <c r="J45" i="3"/>
  <c r="K45" i="3"/>
  <c r="C46" i="3"/>
  <c r="G46" i="3" s="1"/>
  <c r="D46" i="3"/>
  <c r="E46" i="3"/>
  <c r="F46" i="3"/>
  <c r="C47" i="3"/>
  <c r="D47" i="3" s="1"/>
  <c r="F47" i="3"/>
  <c r="G47" i="3"/>
  <c r="H47" i="3"/>
  <c r="I47" i="3"/>
  <c r="J47" i="3"/>
  <c r="K47" i="3"/>
  <c r="C48" i="3"/>
  <c r="I48" i="3" s="1"/>
  <c r="D48" i="3"/>
  <c r="E48" i="3"/>
  <c r="F48" i="3"/>
  <c r="G48" i="3"/>
  <c r="H48" i="3"/>
  <c r="C49" i="3"/>
  <c r="E49" i="3" s="1"/>
  <c r="D49" i="3"/>
  <c r="J49" i="3"/>
  <c r="K49" i="3"/>
  <c r="C50" i="3"/>
  <c r="K50" i="3" s="1"/>
  <c r="D50" i="3"/>
  <c r="E50" i="3"/>
  <c r="F50" i="3"/>
  <c r="G50" i="3"/>
  <c r="H50" i="3"/>
  <c r="I50" i="3"/>
  <c r="J50" i="3"/>
  <c r="C51" i="3"/>
  <c r="G51" i="3" s="1"/>
  <c r="D51" i="3"/>
  <c r="E51" i="3"/>
  <c r="F51" i="3"/>
  <c r="J51" i="3"/>
  <c r="C52" i="3"/>
  <c r="D52" i="3"/>
  <c r="E52" i="3"/>
  <c r="F52" i="3"/>
  <c r="G52" i="3"/>
  <c r="H52" i="3"/>
  <c r="I52" i="3"/>
  <c r="C53" i="3"/>
  <c r="G53" i="3" s="1"/>
  <c r="D53" i="3"/>
  <c r="E53" i="3"/>
  <c r="F53" i="3"/>
  <c r="C54" i="3"/>
  <c r="G54" i="3" s="1"/>
  <c r="D54" i="3"/>
  <c r="E54" i="3"/>
  <c r="F54" i="3"/>
  <c r="C55" i="3"/>
  <c r="D55" i="3" s="1"/>
  <c r="E55" i="3"/>
  <c r="F55" i="3"/>
  <c r="C56" i="3"/>
  <c r="D56" i="3"/>
  <c r="E56" i="3"/>
  <c r="F56" i="3"/>
  <c r="C57" i="3"/>
  <c r="D57" i="3"/>
  <c r="E57" i="3"/>
  <c r="C58" i="3"/>
  <c r="D58" i="3"/>
  <c r="E58" i="3"/>
  <c r="C59" i="3"/>
  <c r="D59" i="3"/>
  <c r="C60" i="3"/>
  <c r="D60" i="3"/>
  <c r="C61" i="3"/>
  <c r="D61" i="3" s="1"/>
  <c r="F11" i="3"/>
  <c r="F12" i="3"/>
  <c r="F13" i="3"/>
  <c r="F14" i="3"/>
  <c r="F16" i="3"/>
  <c r="F17" i="3"/>
  <c r="F10" i="3"/>
  <c r="E6" i="3"/>
  <c r="E7" i="3"/>
  <c r="E8" i="3"/>
  <c r="E9" i="3"/>
  <c r="E10" i="3"/>
  <c r="E11" i="3"/>
  <c r="E12" i="3"/>
  <c r="E13" i="3"/>
  <c r="E14" i="3"/>
  <c r="E15" i="3"/>
  <c r="E17" i="3"/>
  <c r="D6" i="3"/>
  <c r="D7" i="3"/>
  <c r="D8" i="3"/>
  <c r="D9" i="3"/>
  <c r="D10" i="3"/>
  <c r="D11" i="3"/>
  <c r="D12" i="3"/>
  <c r="D13" i="3"/>
  <c r="D14" i="3"/>
  <c r="D15" i="3"/>
  <c r="D16" i="3"/>
  <c r="D17" i="3"/>
  <c r="C6" i="3"/>
  <c r="C7" i="3"/>
  <c r="C8" i="3"/>
  <c r="C9" i="3"/>
  <c r="C10" i="3"/>
  <c r="C11" i="3"/>
  <c r="C12" i="3"/>
  <c r="C13" i="3"/>
  <c r="C14" i="3"/>
  <c r="C15" i="3"/>
  <c r="F15" i="3" s="1"/>
  <c r="C16" i="3"/>
  <c r="E16" i="3" s="1"/>
  <c r="C17" i="3"/>
  <c r="C5" i="3"/>
  <c r="E5" i="3" s="1"/>
  <c r="E4" i="3"/>
  <c r="F4" i="3"/>
  <c r="G4" i="3"/>
  <c r="H4" i="3"/>
  <c r="I4" i="3"/>
  <c r="J4" i="3"/>
  <c r="K4" i="3"/>
  <c r="D4" i="3"/>
  <c r="AO50" i="1"/>
  <c r="AN50" i="1"/>
  <c r="AN49" i="1"/>
  <c r="AO49" i="1" s="1"/>
  <c r="AN48" i="1"/>
  <c r="AO48" i="1" s="1"/>
  <c r="AN47" i="1"/>
  <c r="AO47" i="1" s="1"/>
  <c r="AN46" i="1"/>
  <c r="AO46" i="1" s="1"/>
  <c r="AN45" i="1"/>
  <c r="AO45" i="1" s="1"/>
  <c r="AN44" i="1"/>
  <c r="AO44" i="1" s="1"/>
  <c r="AN43" i="1"/>
  <c r="AO43" i="1" s="1"/>
  <c r="AN42" i="1"/>
  <c r="AO42" i="1" s="1"/>
  <c r="AN41" i="1"/>
  <c r="AO41" i="1" s="1"/>
  <c r="AO40" i="1"/>
  <c r="AN40" i="1"/>
  <c r="AN39" i="1"/>
  <c r="AO39" i="1" s="1"/>
  <c r="AN38" i="1"/>
  <c r="AO38" i="1" s="1"/>
  <c r="AN37" i="1"/>
  <c r="AO37" i="1" s="1"/>
  <c r="AN36" i="1"/>
  <c r="AO36" i="1" s="1"/>
  <c r="AN35" i="1"/>
  <c r="AO35" i="1" s="1"/>
  <c r="AN34" i="1"/>
  <c r="AO34" i="1" s="1"/>
  <c r="AN33" i="1"/>
  <c r="AO33" i="1" s="1"/>
  <c r="AN32" i="1"/>
  <c r="AO32" i="1" s="1"/>
  <c r="AN31" i="1"/>
  <c r="AO31" i="1" s="1"/>
  <c r="AO30" i="1"/>
  <c r="AN30" i="1"/>
  <c r="AN29" i="1"/>
  <c r="AO29" i="1" s="1"/>
  <c r="AN28" i="1"/>
  <c r="AO28" i="1" s="1"/>
  <c r="AN27" i="1"/>
  <c r="AO27" i="1" s="1"/>
  <c r="AN26" i="1"/>
  <c r="AO26" i="1" s="1"/>
  <c r="AN25" i="1"/>
  <c r="AO25" i="1" s="1"/>
  <c r="AN24" i="1"/>
  <c r="AO24" i="1" s="1"/>
  <c r="AN23" i="1"/>
  <c r="AO23" i="1" s="1"/>
  <c r="AN22" i="1"/>
  <c r="AO22" i="1" s="1"/>
  <c r="AN21" i="1"/>
  <c r="AO21" i="1" s="1"/>
  <c r="AO20" i="1"/>
  <c r="AN20" i="1"/>
  <c r="AN19" i="1"/>
  <c r="AO19" i="1" s="1"/>
  <c r="AN18" i="1"/>
  <c r="AO18" i="1" s="1"/>
  <c r="AN17" i="1"/>
  <c r="AO17" i="1" s="1"/>
  <c r="AN16" i="1"/>
  <c r="AO16" i="1" s="1"/>
  <c r="AN15" i="1"/>
  <c r="AO15" i="1" s="1"/>
  <c r="AN14" i="1"/>
  <c r="AO14" i="1" s="1"/>
  <c r="AN13" i="1"/>
  <c r="AO13" i="1" s="1"/>
  <c r="AN12" i="1"/>
  <c r="AO12" i="1" s="1"/>
  <c r="AN11" i="1"/>
  <c r="AO11" i="1" s="1"/>
  <c r="AO10" i="1"/>
  <c r="AN10" i="1"/>
  <c r="AN9" i="1"/>
  <c r="AO9" i="1" s="1"/>
  <c r="AN8" i="1"/>
  <c r="AO8" i="1" s="1"/>
  <c r="AN7" i="1"/>
  <c r="AO7" i="1" s="1"/>
  <c r="AN6" i="1"/>
  <c r="AO6" i="1" s="1"/>
  <c r="AM50" i="1"/>
  <c r="AL50" i="1"/>
  <c r="AL49" i="1"/>
  <c r="AM49" i="1" s="1"/>
  <c r="AL48" i="1"/>
  <c r="AM48" i="1" s="1"/>
  <c r="AL47" i="1"/>
  <c r="AM47" i="1" s="1"/>
  <c r="AL46" i="1"/>
  <c r="AM46" i="1" s="1"/>
  <c r="AL45" i="1"/>
  <c r="AM45" i="1" s="1"/>
  <c r="AL44" i="1"/>
  <c r="AM44" i="1" s="1"/>
  <c r="AL43" i="1"/>
  <c r="AM43" i="1" s="1"/>
  <c r="AL42" i="1"/>
  <c r="AM42" i="1" s="1"/>
  <c r="AL41" i="1"/>
  <c r="AM41" i="1" s="1"/>
  <c r="AM40" i="1"/>
  <c r="AL40" i="1"/>
  <c r="AL39" i="1"/>
  <c r="AM39" i="1" s="1"/>
  <c r="AL38" i="1"/>
  <c r="AM38" i="1" s="1"/>
  <c r="AL37" i="1"/>
  <c r="AM37" i="1" s="1"/>
  <c r="AL36" i="1"/>
  <c r="AM36" i="1" s="1"/>
  <c r="AL35" i="1"/>
  <c r="AM35" i="1" s="1"/>
  <c r="AL34" i="1"/>
  <c r="AM34" i="1" s="1"/>
  <c r="AL33" i="1"/>
  <c r="AM33" i="1" s="1"/>
  <c r="AM32" i="1"/>
  <c r="AL32" i="1"/>
  <c r="AL31" i="1"/>
  <c r="AM31" i="1" s="1"/>
  <c r="AM30" i="1"/>
  <c r="AL30" i="1"/>
  <c r="AL29" i="1"/>
  <c r="AM29" i="1" s="1"/>
  <c r="AL28" i="1"/>
  <c r="AM28" i="1" s="1"/>
  <c r="AL27" i="1"/>
  <c r="AM27" i="1" s="1"/>
  <c r="AL26" i="1"/>
  <c r="AM26" i="1" s="1"/>
  <c r="AL25" i="1"/>
  <c r="AM25" i="1" s="1"/>
  <c r="AL24" i="1"/>
  <c r="AM24" i="1" s="1"/>
  <c r="AL23" i="1"/>
  <c r="AM23" i="1" s="1"/>
  <c r="AL22" i="1"/>
  <c r="AM22" i="1" s="1"/>
  <c r="AL21" i="1"/>
  <c r="AM21" i="1" s="1"/>
  <c r="AM20" i="1"/>
  <c r="AL20" i="1"/>
  <c r="AL19" i="1"/>
  <c r="AM19" i="1" s="1"/>
  <c r="AL18" i="1"/>
  <c r="AM18" i="1" s="1"/>
  <c r="AL17" i="1"/>
  <c r="AM17" i="1" s="1"/>
  <c r="AL16" i="1"/>
  <c r="AM16" i="1" s="1"/>
  <c r="AL15" i="1"/>
  <c r="AM15" i="1" s="1"/>
  <c r="AL14" i="1"/>
  <c r="AM14" i="1" s="1"/>
  <c r="AL13" i="1"/>
  <c r="AM13" i="1" s="1"/>
  <c r="AL12" i="1"/>
  <c r="AM12" i="1" s="1"/>
  <c r="AL11" i="1"/>
  <c r="AM11" i="1" s="1"/>
  <c r="AM10" i="1"/>
  <c r="AL10" i="1"/>
  <c r="AL9" i="1"/>
  <c r="AM9" i="1" s="1"/>
  <c r="AL8" i="1"/>
  <c r="AM8" i="1" s="1"/>
  <c r="AL7" i="1"/>
  <c r="AM7" i="1" s="1"/>
  <c r="AL6" i="1"/>
  <c r="AM6" i="1" s="1"/>
  <c r="AJ50" i="1"/>
  <c r="AK50" i="1" s="1"/>
  <c r="AJ49" i="1"/>
  <c r="AK49" i="1" s="1"/>
  <c r="AJ48" i="1"/>
  <c r="AK48" i="1" s="1"/>
  <c r="AK47" i="1"/>
  <c r="AJ47" i="1"/>
  <c r="AJ46" i="1"/>
  <c r="AK46" i="1" s="1"/>
  <c r="AJ45" i="1"/>
  <c r="AK45" i="1" s="1"/>
  <c r="AJ44" i="1"/>
  <c r="AK44" i="1" s="1"/>
  <c r="AJ43" i="1"/>
  <c r="AK43" i="1" s="1"/>
  <c r="AJ42" i="1"/>
  <c r="AK42" i="1" s="1"/>
  <c r="AJ41" i="1"/>
  <c r="AK41" i="1" s="1"/>
  <c r="AJ40" i="1"/>
  <c r="AK40" i="1" s="1"/>
  <c r="AJ39" i="1"/>
  <c r="AK39" i="1" s="1"/>
  <c r="AJ38" i="1"/>
  <c r="AK38" i="1" s="1"/>
  <c r="AK37" i="1"/>
  <c r="AJ37" i="1"/>
  <c r="AJ36" i="1"/>
  <c r="AK36" i="1" s="1"/>
  <c r="AJ35" i="1"/>
  <c r="AK35" i="1" s="1"/>
  <c r="AJ34" i="1"/>
  <c r="AK34" i="1" s="1"/>
  <c r="AJ33" i="1"/>
  <c r="AK33" i="1" s="1"/>
  <c r="AJ32" i="1"/>
  <c r="AK32" i="1" s="1"/>
  <c r="AJ31" i="1"/>
  <c r="AK31" i="1" s="1"/>
  <c r="AJ30" i="1"/>
  <c r="AK30" i="1" s="1"/>
  <c r="AJ29" i="1"/>
  <c r="AK29" i="1" s="1"/>
  <c r="AJ28" i="1"/>
  <c r="AK28" i="1" s="1"/>
  <c r="AK27" i="1"/>
  <c r="AJ27" i="1"/>
  <c r="AJ26" i="1"/>
  <c r="AK26" i="1" s="1"/>
  <c r="AJ25" i="1"/>
  <c r="AK25" i="1" s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8" i="1"/>
  <c r="AK18" i="1" s="1"/>
  <c r="AK17" i="1"/>
  <c r="AJ17" i="1"/>
  <c r="AJ16" i="1"/>
  <c r="AK16" i="1" s="1"/>
  <c r="AJ15" i="1"/>
  <c r="AK15" i="1" s="1"/>
  <c r="AJ14" i="1"/>
  <c r="AK14" i="1" s="1"/>
  <c r="AJ13" i="1"/>
  <c r="AK13" i="1" s="1"/>
  <c r="AJ12" i="1"/>
  <c r="AK12" i="1" s="1"/>
  <c r="AJ11" i="1"/>
  <c r="AK11" i="1" s="1"/>
  <c r="AJ10" i="1"/>
  <c r="AK10" i="1" s="1"/>
  <c r="AJ9" i="1"/>
  <c r="AK9" i="1" s="1"/>
  <c r="AJ8" i="1"/>
  <c r="AK8" i="1" s="1"/>
  <c r="AK7" i="1"/>
  <c r="AJ7" i="1"/>
  <c r="AJ6" i="1"/>
  <c r="AK6" i="1" s="1"/>
  <c r="AH50" i="1"/>
  <c r="AI50" i="1" s="1"/>
  <c r="AH49" i="1"/>
  <c r="AI49" i="1" s="1"/>
  <c r="AH48" i="1"/>
  <c r="AI48" i="1" s="1"/>
  <c r="AH47" i="1"/>
  <c r="AI47" i="1" s="1"/>
  <c r="AH46" i="1"/>
  <c r="AI46" i="1" s="1"/>
  <c r="AH45" i="1"/>
  <c r="AI45" i="1" s="1"/>
  <c r="AH44" i="1"/>
  <c r="AI44" i="1" s="1"/>
  <c r="AH43" i="1"/>
  <c r="AI43" i="1" s="1"/>
  <c r="AH42" i="1"/>
  <c r="AI42" i="1" s="1"/>
  <c r="AH41" i="1"/>
  <c r="AI41" i="1" s="1"/>
  <c r="AH40" i="1"/>
  <c r="AI40" i="1" s="1"/>
  <c r="AH39" i="1"/>
  <c r="AI39" i="1" s="1"/>
  <c r="AH38" i="1"/>
  <c r="AI38" i="1" s="1"/>
  <c r="AH37" i="1"/>
  <c r="AI37" i="1" s="1"/>
  <c r="AH36" i="1"/>
  <c r="AI36" i="1" s="1"/>
  <c r="AH35" i="1"/>
  <c r="AI35" i="1" s="1"/>
  <c r="AH34" i="1"/>
  <c r="AI34" i="1" s="1"/>
  <c r="AH33" i="1"/>
  <c r="AI33" i="1" s="1"/>
  <c r="AH32" i="1"/>
  <c r="AI32" i="1" s="1"/>
  <c r="AH31" i="1"/>
  <c r="AI31" i="1" s="1"/>
  <c r="AH30" i="1"/>
  <c r="AI30" i="1" s="1"/>
  <c r="AH29" i="1"/>
  <c r="AI29" i="1" s="1"/>
  <c r="AH28" i="1"/>
  <c r="AI28" i="1" s="1"/>
  <c r="AH27" i="1"/>
  <c r="AI27" i="1" s="1"/>
  <c r="AH26" i="1"/>
  <c r="AI26" i="1" s="1"/>
  <c r="AH25" i="1"/>
  <c r="AI25" i="1" s="1"/>
  <c r="AH24" i="1"/>
  <c r="AI24" i="1" s="1"/>
  <c r="AH23" i="1"/>
  <c r="AI23" i="1" s="1"/>
  <c r="AH22" i="1"/>
  <c r="AI22" i="1" s="1"/>
  <c r="AH21" i="1"/>
  <c r="AI21" i="1" s="1"/>
  <c r="AH20" i="1"/>
  <c r="AI20" i="1" s="1"/>
  <c r="AH19" i="1"/>
  <c r="AI19" i="1" s="1"/>
  <c r="AH18" i="1"/>
  <c r="AI18" i="1" s="1"/>
  <c r="AH17" i="1"/>
  <c r="AI17" i="1" s="1"/>
  <c r="AH16" i="1"/>
  <c r="AI16" i="1" s="1"/>
  <c r="AH15" i="1"/>
  <c r="AI15" i="1" s="1"/>
  <c r="AH14" i="1"/>
  <c r="AI14" i="1" s="1"/>
  <c r="AH13" i="1"/>
  <c r="AI13" i="1" s="1"/>
  <c r="AH12" i="1"/>
  <c r="AI12" i="1" s="1"/>
  <c r="AH11" i="1"/>
  <c r="AI11" i="1" s="1"/>
  <c r="AH10" i="1"/>
  <c r="AI10" i="1" s="1"/>
  <c r="AH9" i="1"/>
  <c r="AI9" i="1" s="1"/>
  <c r="AH8" i="1"/>
  <c r="AI8" i="1" s="1"/>
  <c r="AH7" i="1"/>
  <c r="AI7" i="1" s="1"/>
  <c r="AH6" i="1"/>
  <c r="AI6" i="1" s="1"/>
  <c r="AF50" i="1"/>
  <c r="AG50" i="1" s="1"/>
  <c r="AG49" i="1"/>
  <c r="AF49" i="1"/>
  <c r="AF48" i="1"/>
  <c r="AG48" i="1" s="1"/>
  <c r="AF47" i="1"/>
  <c r="AG47" i="1" s="1"/>
  <c r="AF46" i="1"/>
  <c r="AG46" i="1" s="1"/>
  <c r="AF45" i="1"/>
  <c r="AG45" i="1" s="1"/>
  <c r="AF44" i="1"/>
  <c r="AG44" i="1" s="1"/>
  <c r="AF43" i="1"/>
  <c r="AG43" i="1" s="1"/>
  <c r="AF42" i="1"/>
  <c r="AG42" i="1" s="1"/>
  <c r="AF41" i="1"/>
  <c r="AG41" i="1" s="1"/>
  <c r="AF40" i="1"/>
  <c r="AG40" i="1" s="1"/>
  <c r="AG39" i="1"/>
  <c r="AF39" i="1"/>
  <c r="AF38" i="1"/>
  <c r="AG38" i="1" s="1"/>
  <c r="AF37" i="1"/>
  <c r="AG37" i="1" s="1"/>
  <c r="AF36" i="1"/>
  <c r="AG36" i="1" s="1"/>
  <c r="AF35" i="1"/>
  <c r="AG35" i="1" s="1"/>
  <c r="AF34" i="1"/>
  <c r="AG34" i="1" s="1"/>
  <c r="AF33" i="1"/>
  <c r="AG33" i="1" s="1"/>
  <c r="AF32" i="1"/>
  <c r="AG32" i="1" s="1"/>
  <c r="AF31" i="1"/>
  <c r="AG31" i="1" s="1"/>
  <c r="AF30" i="1"/>
  <c r="AG30" i="1" s="1"/>
  <c r="AG29" i="1"/>
  <c r="AF29" i="1"/>
  <c r="AF28" i="1"/>
  <c r="AG28" i="1" s="1"/>
  <c r="AF27" i="1"/>
  <c r="AG27" i="1" s="1"/>
  <c r="AF26" i="1"/>
  <c r="AG26" i="1" s="1"/>
  <c r="AF25" i="1"/>
  <c r="AG25" i="1" s="1"/>
  <c r="AF24" i="1"/>
  <c r="AG24" i="1" s="1"/>
  <c r="AF23" i="1"/>
  <c r="AG23" i="1" s="1"/>
  <c r="AF22" i="1"/>
  <c r="AG22" i="1" s="1"/>
  <c r="AF21" i="1"/>
  <c r="AG21" i="1" s="1"/>
  <c r="AF20" i="1"/>
  <c r="AG20" i="1" s="1"/>
  <c r="AG19" i="1"/>
  <c r="AF19" i="1"/>
  <c r="AF18" i="1"/>
  <c r="AG18" i="1" s="1"/>
  <c r="AF17" i="1"/>
  <c r="AG17" i="1" s="1"/>
  <c r="AF16" i="1"/>
  <c r="AG16" i="1" s="1"/>
  <c r="AF15" i="1"/>
  <c r="AG15" i="1" s="1"/>
  <c r="AF14" i="1"/>
  <c r="AG14" i="1" s="1"/>
  <c r="AF13" i="1"/>
  <c r="AG13" i="1" s="1"/>
  <c r="AF12" i="1"/>
  <c r="AG12" i="1" s="1"/>
  <c r="AF11" i="1"/>
  <c r="AG11" i="1" s="1"/>
  <c r="AF10" i="1"/>
  <c r="AG10" i="1" s="1"/>
  <c r="AG9" i="1"/>
  <c r="AF9" i="1"/>
  <c r="AF8" i="1"/>
  <c r="AG8" i="1" s="1"/>
  <c r="AF7" i="1"/>
  <c r="AG7" i="1" s="1"/>
  <c r="AF6" i="1"/>
  <c r="AG6" i="1" s="1"/>
  <c r="AD50" i="1"/>
  <c r="AE50" i="1" s="1"/>
  <c r="AD49" i="1"/>
  <c r="AE49" i="1" s="1"/>
  <c r="AD48" i="1"/>
  <c r="AE48" i="1" s="1"/>
  <c r="AD47" i="1"/>
  <c r="AE47" i="1" s="1"/>
  <c r="AD46" i="1"/>
  <c r="AE46" i="1" s="1"/>
  <c r="AD45" i="1"/>
  <c r="AE45" i="1" s="1"/>
  <c r="AD44" i="1"/>
  <c r="AE44" i="1" s="1"/>
  <c r="AD43" i="1"/>
  <c r="AE43" i="1" s="1"/>
  <c r="AD42" i="1"/>
  <c r="AE42" i="1" s="1"/>
  <c r="AD41" i="1"/>
  <c r="AE41" i="1" s="1"/>
  <c r="AD40" i="1"/>
  <c r="AE40" i="1" s="1"/>
  <c r="AD39" i="1"/>
  <c r="AE39" i="1" s="1"/>
  <c r="AD38" i="1"/>
  <c r="AE38" i="1" s="1"/>
  <c r="AD37" i="1"/>
  <c r="AE37" i="1" s="1"/>
  <c r="AD36" i="1"/>
  <c r="AE36" i="1" s="1"/>
  <c r="AD35" i="1"/>
  <c r="AE35" i="1" s="1"/>
  <c r="AD34" i="1"/>
  <c r="AE34" i="1" s="1"/>
  <c r="AD33" i="1"/>
  <c r="AE33" i="1" s="1"/>
  <c r="AD32" i="1"/>
  <c r="AE32" i="1" s="1"/>
  <c r="AD31" i="1"/>
  <c r="AE31" i="1" s="1"/>
  <c r="AD30" i="1"/>
  <c r="AE30" i="1" s="1"/>
  <c r="AD29" i="1"/>
  <c r="AE29" i="1" s="1"/>
  <c r="AD28" i="1"/>
  <c r="AE28" i="1" s="1"/>
  <c r="AD27" i="1"/>
  <c r="AE27" i="1" s="1"/>
  <c r="AD26" i="1"/>
  <c r="AE26" i="1" s="1"/>
  <c r="AD25" i="1"/>
  <c r="AE25" i="1" s="1"/>
  <c r="AD24" i="1"/>
  <c r="AE24" i="1" s="1"/>
  <c r="AD23" i="1"/>
  <c r="AE23" i="1" s="1"/>
  <c r="AE22" i="1"/>
  <c r="AD22" i="1"/>
  <c r="AD21" i="1"/>
  <c r="AE21" i="1" s="1"/>
  <c r="AD20" i="1"/>
  <c r="AE20" i="1" s="1"/>
  <c r="AD19" i="1"/>
  <c r="AE19" i="1" s="1"/>
  <c r="AD18" i="1"/>
  <c r="AE18" i="1" s="1"/>
  <c r="AD17" i="1"/>
  <c r="AE17" i="1" s="1"/>
  <c r="AD16" i="1"/>
  <c r="AE16" i="1" s="1"/>
  <c r="AD15" i="1"/>
  <c r="AE15" i="1" s="1"/>
  <c r="AD14" i="1"/>
  <c r="AE14" i="1" s="1"/>
  <c r="AD13" i="1"/>
  <c r="AE13" i="1" s="1"/>
  <c r="AD12" i="1"/>
  <c r="AE12" i="1" s="1"/>
  <c r="AD11" i="1"/>
  <c r="AE11" i="1" s="1"/>
  <c r="AD10" i="1"/>
  <c r="AE10" i="1" s="1"/>
  <c r="AD9" i="1"/>
  <c r="AE9" i="1" s="1"/>
  <c r="AD8" i="1"/>
  <c r="AE8" i="1" s="1"/>
  <c r="AD7" i="1"/>
  <c r="AE7" i="1" s="1"/>
  <c r="AD6" i="1"/>
  <c r="AE6" i="1" s="1"/>
  <c r="AB50" i="1"/>
  <c r="AC50" i="1" s="1"/>
  <c r="AB49" i="1"/>
  <c r="AC49" i="1" s="1"/>
  <c r="AB48" i="1"/>
  <c r="AC48" i="1" s="1"/>
  <c r="AB47" i="1"/>
  <c r="AC47" i="1" s="1"/>
  <c r="AB46" i="1"/>
  <c r="AC46" i="1" s="1"/>
  <c r="AB45" i="1"/>
  <c r="AC45" i="1" s="1"/>
  <c r="AB44" i="1"/>
  <c r="AC44" i="1" s="1"/>
  <c r="AB43" i="1"/>
  <c r="AC43" i="1" s="1"/>
  <c r="AB42" i="1"/>
  <c r="AC42" i="1" s="1"/>
  <c r="AB41" i="1"/>
  <c r="AC41" i="1" s="1"/>
  <c r="AB40" i="1"/>
  <c r="AC40" i="1" s="1"/>
  <c r="AB39" i="1"/>
  <c r="AC39" i="1" s="1"/>
  <c r="AB38" i="1"/>
  <c r="AC38" i="1" s="1"/>
  <c r="AB37" i="1"/>
  <c r="AC37" i="1" s="1"/>
  <c r="AB36" i="1"/>
  <c r="AC36" i="1" s="1"/>
  <c r="AB35" i="1"/>
  <c r="AC35" i="1" s="1"/>
  <c r="AB34" i="1"/>
  <c r="AC34" i="1" s="1"/>
  <c r="AB33" i="1"/>
  <c r="AC33" i="1" s="1"/>
  <c r="AB32" i="1"/>
  <c r="AC32" i="1" s="1"/>
  <c r="AB31" i="1"/>
  <c r="AC31" i="1" s="1"/>
  <c r="AB30" i="1"/>
  <c r="AC30" i="1" s="1"/>
  <c r="AB29" i="1"/>
  <c r="AC29" i="1" s="1"/>
  <c r="AB28" i="1"/>
  <c r="AC28" i="1" s="1"/>
  <c r="AB27" i="1"/>
  <c r="AC27" i="1" s="1"/>
  <c r="AB26" i="1"/>
  <c r="AC26" i="1" s="1"/>
  <c r="AB25" i="1"/>
  <c r="AC25" i="1" s="1"/>
  <c r="AB24" i="1"/>
  <c r="AC24" i="1" s="1"/>
  <c r="AB23" i="1"/>
  <c r="AC23" i="1" s="1"/>
  <c r="AB22" i="1"/>
  <c r="AC22" i="1" s="1"/>
  <c r="AB21" i="1"/>
  <c r="AC21" i="1" s="1"/>
  <c r="AB20" i="1"/>
  <c r="AC20" i="1" s="1"/>
  <c r="AB19" i="1"/>
  <c r="AC19" i="1" s="1"/>
  <c r="AB18" i="1"/>
  <c r="AC18" i="1" s="1"/>
  <c r="AB17" i="1"/>
  <c r="AC17" i="1" s="1"/>
  <c r="AB16" i="1"/>
  <c r="AC16" i="1" s="1"/>
  <c r="AB15" i="1"/>
  <c r="AC15" i="1" s="1"/>
  <c r="AB14" i="1"/>
  <c r="AC14" i="1" s="1"/>
  <c r="AB13" i="1"/>
  <c r="AC13" i="1" s="1"/>
  <c r="AB12" i="1"/>
  <c r="AC12" i="1" s="1"/>
  <c r="AB11" i="1"/>
  <c r="AC11" i="1" s="1"/>
  <c r="AB10" i="1"/>
  <c r="AC10" i="1" s="1"/>
  <c r="AB9" i="1"/>
  <c r="AC9" i="1" s="1"/>
  <c r="AB8" i="1"/>
  <c r="AC8" i="1" s="1"/>
  <c r="AB7" i="1"/>
  <c r="AC7" i="1" s="1"/>
  <c r="AB6" i="1"/>
  <c r="AC6" i="1" s="1"/>
  <c r="Z50" i="1"/>
  <c r="AA50" i="1" s="1"/>
  <c r="Z49" i="1"/>
  <c r="AA49" i="1" s="1"/>
  <c r="Z48" i="1"/>
  <c r="AA48" i="1" s="1"/>
  <c r="Z47" i="1"/>
  <c r="AA47" i="1" s="1"/>
  <c r="Z46" i="1"/>
  <c r="AA46" i="1" s="1"/>
  <c r="Z45" i="1"/>
  <c r="AA45" i="1" s="1"/>
  <c r="Z44" i="1"/>
  <c r="AA44" i="1" s="1"/>
  <c r="Z43" i="1"/>
  <c r="AA43" i="1" s="1"/>
  <c r="Z42" i="1"/>
  <c r="AA42" i="1" s="1"/>
  <c r="Z41" i="1"/>
  <c r="AA41" i="1" s="1"/>
  <c r="Z40" i="1"/>
  <c r="AA40" i="1" s="1"/>
  <c r="Z39" i="1"/>
  <c r="AA39" i="1" s="1"/>
  <c r="Z38" i="1"/>
  <c r="AA38" i="1" s="1"/>
  <c r="Z37" i="1"/>
  <c r="AA37" i="1" s="1"/>
  <c r="Z36" i="1"/>
  <c r="AA36" i="1" s="1"/>
  <c r="Z35" i="1"/>
  <c r="AA35" i="1" s="1"/>
  <c r="Z34" i="1"/>
  <c r="AA34" i="1" s="1"/>
  <c r="Z33" i="1"/>
  <c r="AA33" i="1" s="1"/>
  <c r="Z32" i="1"/>
  <c r="AA32" i="1" s="1"/>
  <c r="Z31" i="1"/>
  <c r="AA31" i="1" s="1"/>
  <c r="Z30" i="1"/>
  <c r="AA30" i="1" s="1"/>
  <c r="Z29" i="1"/>
  <c r="AA29" i="1" s="1"/>
  <c r="Z28" i="1"/>
  <c r="AA28" i="1" s="1"/>
  <c r="Z27" i="1"/>
  <c r="AA27" i="1" s="1"/>
  <c r="Z26" i="1"/>
  <c r="AA26" i="1" s="1"/>
  <c r="Z25" i="1"/>
  <c r="AA25" i="1" s="1"/>
  <c r="Z24" i="1"/>
  <c r="AA24" i="1" s="1"/>
  <c r="Z23" i="1"/>
  <c r="AA23" i="1" s="1"/>
  <c r="Z22" i="1"/>
  <c r="AA22" i="1" s="1"/>
  <c r="Z21" i="1"/>
  <c r="AA21" i="1" s="1"/>
  <c r="Z20" i="1"/>
  <c r="AA20" i="1" s="1"/>
  <c r="Z19" i="1"/>
  <c r="AA19" i="1" s="1"/>
  <c r="Z18" i="1"/>
  <c r="AA18" i="1" s="1"/>
  <c r="Z17" i="1"/>
  <c r="AA17" i="1" s="1"/>
  <c r="Z16" i="1"/>
  <c r="AA16" i="1" s="1"/>
  <c r="Z15" i="1"/>
  <c r="AA15" i="1" s="1"/>
  <c r="Z14" i="1"/>
  <c r="AA14" i="1" s="1"/>
  <c r="Z13" i="1"/>
  <c r="AA13" i="1" s="1"/>
  <c r="Z12" i="1"/>
  <c r="AA12" i="1" s="1"/>
  <c r="Z11" i="1"/>
  <c r="AA11" i="1" s="1"/>
  <c r="Z10" i="1"/>
  <c r="AA10" i="1" s="1"/>
  <c r="Z9" i="1"/>
  <c r="AA9" i="1" s="1"/>
  <c r="Z8" i="1"/>
  <c r="AA8" i="1" s="1"/>
  <c r="Z7" i="1"/>
  <c r="AA7" i="1" s="1"/>
  <c r="Z6" i="1"/>
  <c r="AA6" i="1" s="1"/>
  <c r="X50" i="1"/>
  <c r="Y50" i="1" s="1"/>
  <c r="Y49" i="1"/>
  <c r="X49" i="1"/>
  <c r="X48" i="1"/>
  <c r="Y48" i="1" s="1"/>
  <c r="X47" i="1"/>
  <c r="Y47" i="1" s="1"/>
  <c r="X46" i="1"/>
  <c r="Y46" i="1" s="1"/>
  <c r="X45" i="1"/>
  <c r="Y45" i="1" s="1"/>
  <c r="X44" i="1"/>
  <c r="Y44" i="1" s="1"/>
  <c r="X43" i="1"/>
  <c r="Y43" i="1" s="1"/>
  <c r="X42" i="1"/>
  <c r="Y42" i="1" s="1"/>
  <c r="X41" i="1"/>
  <c r="Y41" i="1" s="1"/>
  <c r="X40" i="1"/>
  <c r="Y40" i="1" s="1"/>
  <c r="Y39" i="1"/>
  <c r="X39" i="1"/>
  <c r="X38" i="1"/>
  <c r="Y38" i="1" s="1"/>
  <c r="X37" i="1"/>
  <c r="Y37" i="1" s="1"/>
  <c r="X36" i="1"/>
  <c r="Y36" i="1" s="1"/>
  <c r="X35" i="1"/>
  <c r="Y35" i="1" s="1"/>
  <c r="X34" i="1"/>
  <c r="Y34" i="1" s="1"/>
  <c r="X33" i="1"/>
  <c r="Y33" i="1" s="1"/>
  <c r="X32" i="1"/>
  <c r="Y32" i="1" s="1"/>
  <c r="X31" i="1"/>
  <c r="Y31" i="1" s="1"/>
  <c r="X30" i="1"/>
  <c r="Y30" i="1" s="1"/>
  <c r="Y29" i="1"/>
  <c r="X29" i="1"/>
  <c r="X28" i="1"/>
  <c r="Y28" i="1" s="1"/>
  <c r="X27" i="1"/>
  <c r="Y27" i="1" s="1"/>
  <c r="X26" i="1"/>
  <c r="Y26" i="1" s="1"/>
  <c r="X25" i="1"/>
  <c r="Y25" i="1" s="1"/>
  <c r="X24" i="1"/>
  <c r="Y24" i="1" s="1"/>
  <c r="X23" i="1"/>
  <c r="Y23" i="1" s="1"/>
  <c r="X22" i="1"/>
  <c r="Y22" i="1" s="1"/>
  <c r="X21" i="1"/>
  <c r="Y21" i="1" s="1"/>
  <c r="X20" i="1"/>
  <c r="Y20" i="1" s="1"/>
  <c r="Y19" i="1"/>
  <c r="X19" i="1"/>
  <c r="X18" i="1"/>
  <c r="Y18" i="1" s="1"/>
  <c r="X17" i="1"/>
  <c r="Y17" i="1" s="1"/>
  <c r="X16" i="1"/>
  <c r="Y16" i="1" s="1"/>
  <c r="X15" i="1"/>
  <c r="Y15" i="1" s="1"/>
  <c r="X14" i="1"/>
  <c r="Y14" i="1" s="1"/>
  <c r="X13" i="1"/>
  <c r="Y13" i="1" s="1"/>
  <c r="X12" i="1"/>
  <c r="Y12" i="1" s="1"/>
  <c r="X11" i="1"/>
  <c r="Y11" i="1" s="1"/>
  <c r="X10" i="1"/>
  <c r="Y10" i="1" s="1"/>
  <c r="Y9" i="1"/>
  <c r="X9" i="1"/>
  <c r="X8" i="1"/>
  <c r="Y8" i="1" s="1"/>
  <c r="X7" i="1"/>
  <c r="Y7" i="1" s="1"/>
  <c r="X6" i="1"/>
  <c r="Y6" i="1" s="1"/>
  <c r="V50" i="1"/>
  <c r="W50" i="1" s="1"/>
  <c r="V49" i="1"/>
  <c r="W49" i="1" s="1"/>
  <c r="V48" i="1"/>
  <c r="W48" i="1" s="1"/>
  <c r="V47" i="1"/>
  <c r="W47" i="1" s="1"/>
  <c r="V46" i="1"/>
  <c r="W46" i="1" s="1"/>
  <c r="V45" i="1"/>
  <c r="W45" i="1" s="1"/>
  <c r="V44" i="1"/>
  <c r="W44" i="1" s="1"/>
  <c r="V43" i="1"/>
  <c r="W43" i="1" s="1"/>
  <c r="V42" i="1"/>
  <c r="W42" i="1" s="1"/>
  <c r="V41" i="1"/>
  <c r="W41" i="1" s="1"/>
  <c r="V40" i="1"/>
  <c r="W40" i="1" s="1"/>
  <c r="V39" i="1"/>
  <c r="W39" i="1" s="1"/>
  <c r="V38" i="1"/>
  <c r="W38" i="1" s="1"/>
  <c r="V37" i="1"/>
  <c r="W37" i="1" s="1"/>
  <c r="V36" i="1"/>
  <c r="W36" i="1" s="1"/>
  <c r="V35" i="1"/>
  <c r="W35" i="1" s="1"/>
  <c r="V34" i="1"/>
  <c r="W34" i="1" s="1"/>
  <c r="V33" i="1"/>
  <c r="W33" i="1" s="1"/>
  <c r="V32" i="1"/>
  <c r="W32" i="1" s="1"/>
  <c r="V31" i="1"/>
  <c r="W31" i="1" s="1"/>
  <c r="V30" i="1"/>
  <c r="W30" i="1" s="1"/>
  <c r="V29" i="1"/>
  <c r="W29" i="1" s="1"/>
  <c r="V28" i="1"/>
  <c r="W28" i="1" s="1"/>
  <c r="V27" i="1"/>
  <c r="W27" i="1" s="1"/>
  <c r="V26" i="1"/>
  <c r="W26" i="1" s="1"/>
  <c r="V25" i="1"/>
  <c r="W25" i="1" s="1"/>
  <c r="V24" i="1"/>
  <c r="W24" i="1" s="1"/>
  <c r="V23" i="1"/>
  <c r="W23" i="1" s="1"/>
  <c r="V22" i="1"/>
  <c r="W22" i="1" s="1"/>
  <c r="V21" i="1"/>
  <c r="W21" i="1" s="1"/>
  <c r="V20" i="1"/>
  <c r="W20" i="1" s="1"/>
  <c r="V19" i="1"/>
  <c r="W19" i="1" s="1"/>
  <c r="V18" i="1"/>
  <c r="W18" i="1" s="1"/>
  <c r="V17" i="1"/>
  <c r="W17" i="1" s="1"/>
  <c r="V16" i="1"/>
  <c r="W16" i="1" s="1"/>
  <c r="V15" i="1"/>
  <c r="W15" i="1" s="1"/>
  <c r="V14" i="1"/>
  <c r="W14" i="1" s="1"/>
  <c r="V13" i="1"/>
  <c r="W13" i="1" s="1"/>
  <c r="V12" i="1"/>
  <c r="W12" i="1" s="1"/>
  <c r="V11" i="1"/>
  <c r="W11" i="1" s="1"/>
  <c r="V10" i="1"/>
  <c r="W10" i="1" s="1"/>
  <c r="V9" i="1"/>
  <c r="W9" i="1" s="1"/>
  <c r="V8" i="1"/>
  <c r="W8" i="1" s="1"/>
  <c r="V7" i="1"/>
  <c r="W7" i="1" s="1"/>
  <c r="V6" i="1"/>
  <c r="W6" i="1" s="1"/>
  <c r="T50" i="1"/>
  <c r="U50" i="1" s="1"/>
  <c r="T49" i="1"/>
  <c r="U49" i="1" s="1"/>
  <c r="T48" i="1"/>
  <c r="U48" i="1" s="1"/>
  <c r="T47" i="1"/>
  <c r="U47" i="1" s="1"/>
  <c r="T46" i="1"/>
  <c r="U46" i="1" s="1"/>
  <c r="T45" i="1"/>
  <c r="U45" i="1" s="1"/>
  <c r="T44" i="1"/>
  <c r="U44" i="1" s="1"/>
  <c r="T43" i="1"/>
  <c r="U43" i="1" s="1"/>
  <c r="T42" i="1"/>
  <c r="U42" i="1" s="1"/>
  <c r="T41" i="1"/>
  <c r="U41" i="1" s="1"/>
  <c r="T40" i="1"/>
  <c r="U40" i="1" s="1"/>
  <c r="T39" i="1"/>
  <c r="U39" i="1" s="1"/>
  <c r="T38" i="1"/>
  <c r="U38" i="1" s="1"/>
  <c r="T37" i="1"/>
  <c r="U37" i="1" s="1"/>
  <c r="T36" i="1"/>
  <c r="U36" i="1" s="1"/>
  <c r="T35" i="1"/>
  <c r="U35" i="1" s="1"/>
  <c r="T34" i="1"/>
  <c r="U34" i="1" s="1"/>
  <c r="T33" i="1"/>
  <c r="U33" i="1" s="1"/>
  <c r="T32" i="1"/>
  <c r="U32" i="1" s="1"/>
  <c r="T31" i="1"/>
  <c r="U31" i="1" s="1"/>
  <c r="T30" i="1"/>
  <c r="U30" i="1" s="1"/>
  <c r="T29" i="1"/>
  <c r="U29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U23" i="1" s="1"/>
  <c r="T22" i="1"/>
  <c r="U22" i="1" s="1"/>
  <c r="T21" i="1"/>
  <c r="U21" i="1" s="1"/>
  <c r="T20" i="1"/>
  <c r="U20" i="1" s="1"/>
  <c r="T19" i="1"/>
  <c r="U19" i="1" s="1"/>
  <c r="T18" i="1"/>
  <c r="U18" i="1" s="1"/>
  <c r="T17" i="1"/>
  <c r="U17" i="1" s="1"/>
  <c r="T16" i="1"/>
  <c r="U16" i="1" s="1"/>
  <c r="T15" i="1"/>
  <c r="U15" i="1" s="1"/>
  <c r="T14" i="1"/>
  <c r="U14" i="1" s="1"/>
  <c r="T13" i="1"/>
  <c r="U13" i="1" s="1"/>
  <c r="T12" i="1"/>
  <c r="U12" i="1" s="1"/>
  <c r="T11" i="1"/>
  <c r="U11" i="1" s="1"/>
  <c r="T10" i="1"/>
  <c r="U10" i="1" s="1"/>
  <c r="T9" i="1"/>
  <c r="U9" i="1" s="1"/>
  <c r="T8" i="1"/>
  <c r="U8" i="1" s="1"/>
  <c r="T7" i="1"/>
  <c r="U7" i="1" s="1"/>
  <c r="T6" i="1"/>
  <c r="U6" i="1" s="1"/>
  <c r="R50" i="1"/>
  <c r="S50" i="1" s="1"/>
  <c r="R49" i="1"/>
  <c r="S49" i="1" s="1"/>
  <c r="R48" i="1"/>
  <c r="S48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S38" i="1" s="1"/>
  <c r="R37" i="1"/>
  <c r="S37" i="1" s="1"/>
  <c r="R36" i="1"/>
  <c r="S36" i="1" s="1"/>
  <c r="R35" i="1"/>
  <c r="S35" i="1" s="1"/>
  <c r="R34" i="1"/>
  <c r="S34" i="1" s="1"/>
  <c r="R33" i="1"/>
  <c r="S33" i="1" s="1"/>
  <c r="R32" i="1"/>
  <c r="S32" i="1" s="1"/>
  <c r="R31" i="1"/>
  <c r="S31" i="1" s="1"/>
  <c r="R30" i="1"/>
  <c r="S30" i="1" s="1"/>
  <c r="R29" i="1"/>
  <c r="S29" i="1" s="1"/>
  <c r="R28" i="1"/>
  <c r="S28" i="1" s="1"/>
  <c r="R27" i="1"/>
  <c r="S27" i="1" s="1"/>
  <c r="R26" i="1"/>
  <c r="S26" i="1" s="1"/>
  <c r="R25" i="1"/>
  <c r="S25" i="1" s="1"/>
  <c r="R24" i="1"/>
  <c r="S24" i="1" s="1"/>
  <c r="R23" i="1"/>
  <c r="S23" i="1" s="1"/>
  <c r="R22" i="1"/>
  <c r="S22" i="1" s="1"/>
  <c r="R21" i="1"/>
  <c r="S21" i="1" s="1"/>
  <c r="R20" i="1"/>
  <c r="S20" i="1" s="1"/>
  <c r="R19" i="1"/>
  <c r="S19" i="1" s="1"/>
  <c r="R18" i="1"/>
  <c r="S18" i="1" s="1"/>
  <c r="R17" i="1"/>
  <c r="S17" i="1" s="1"/>
  <c r="R16" i="1"/>
  <c r="S16" i="1" s="1"/>
  <c r="R15" i="1"/>
  <c r="S15" i="1" s="1"/>
  <c r="R14" i="1"/>
  <c r="S14" i="1" s="1"/>
  <c r="R13" i="1"/>
  <c r="S13" i="1" s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P50" i="1"/>
  <c r="Q50" i="1" s="1"/>
  <c r="Q49" i="1"/>
  <c r="P49" i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P40" i="1"/>
  <c r="Q40" i="1" s="1"/>
  <c r="Q39" i="1"/>
  <c r="P39" i="1"/>
  <c r="P38" i="1"/>
  <c r="Q38" i="1" s="1"/>
  <c r="P37" i="1"/>
  <c r="Q37" i="1" s="1"/>
  <c r="P36" i="1"/>
  <c r="Q36" i="1" s="1"/>
  <c r="P35" i="1"/>
  <c r="Q35" i="1" s="1"/>
  <c r="P34" i="1"/>
  <c r="Q34" i="1" s="1"/>
  <c r="P33" i="1"/>
  <c r="Q33" i="1" s="1"/>
  <c r="P32" i="1"/>
  <c r="Q32" i="1" s="1"/>
  <c r="P31" i="1"/>
  <c r="Q31" i="1" s="1"/>
  <c r="P30" i="1"/>
  <c r="Q30" i="1" s="1"/>
  <c r="Q29" i="1"/>
  <c r="P29" i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Q19" i="1"/>
  <c r="P19" i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Q9" i="1"/>
  <c r="P9" i="1"/>
  <c r="P8" i="1"/>
  <c r="Q8" i="1" s="1"/>
  <c r="P7" i="1"/>
  <c r="Q7" i="1" s="1"/>
  <c r="P6" i="1"/>
  <c r="Q6" i="1" s="1"/>
  <c r="C31" i="1"/>
  <c r="D31" i="1"/>
  <c r="E31" i="1" s="1"/>
  <c r="F31" i="1"/>
  <c r="G31" i="1" s="1"/>
  <c r="H31" i="1"/>
  <c r="I31" i="1" s="1"/>
  <c r="J31" i="1"/>
  <c r="K31" i="1" s="1"/>
  <c r="L31" i="1"/>
  <c r="M31" i="1"/>
  <c r="N31" i="1"/>
  <c r="O31" i="1" s="1"/>
  <c r="C32" i="1"/>
  <c r="J32" i="1" s="1"/>
  <c r="K32" i="1" s="1"/>
  <c r="D32" i="1"/>
  <c r="E32" i="1"/>
  <c r="F32" i="1"/>
  <c r="G32" i="1"/>
  <c r="H32" i="1"/>
  <c r="I32" i="1"/>
  <c r="C33" i="1"/>
  <c r="F33" i="1" s="1"/>
  <c r="G33" i="1" s="1"/>
  <c r="D33" i="1"/>
  <c r="E33" i="1" s="1"/>
  <c r="J33" i="1"/>
  <c r="K33" i="1" s="1"/>
  <c r="L33" i="1"/>
  <c r="M33" i="1" s="1"/>
  <c r="N33" i="1"/>
  <c r="O33" i="1" s="1"/>
  <c r="C34" i="1"/>
  <c r="D34" i="1" s="1"/>
  <c r="E34" i="1" s="1"/>
  <c r="C35" i="1"/>
  <c r="L35" i="1" s="1"/>
  <c r="M35" i="1" s="1"/>
  <c r="D35" i="1"/>
  <c r="E35" i="1"/>
  <c r="F35" i="1"/>
  <c r="G35" i="1" s="1"/>
  <c r="H35" i="1"/>
  <c r="I35" i="1"/>
  <c r="J35" i="1"/>
  <c r="K35" i="1" s="1"/>
  <c r="C36" i="1"/>
  <c r="F36" i="1" s="1"/>
  <c r="G36" i="1" s="1"/>
  <c r="D36" i="1"/>
  <c r="E36" i="1"/>
  <c r="J36" i="1"/>
  <c r="K36" i="1"/>
  <c r="L36" i="1"/>
  <c r="M36" i="1" s="1"/>
  <c r="N36" i="1"/>
  <c r="O36" i="1" s="1"/>
  <c r="C37" i="1"/>
  <c r="F37" i="1" s="1"/>
  <c r="G37" i="1" s="1"/>
  <c r="D37" i="1"/>
  <c r="E37" i="1" s="1"/>
  <c r="C38" i="1"/>
  <c r="L38" i="1" s="1"/>
  <c r="M38" i="1" s="1"/>
  <c r="D38" i="1"/>
  <c r="E38" i="1"/>
  <c r="F38" i="1"/>
  <c r="G38" i="1" s="1"/>
  <c r="H38" i="1"/>
  <c r="I38" i="1"/>
  <c r="J38" i="1"/>
  <c r="K38" i="1"/>
  <c r="C39" i="1"/>
  <c r="H39" i="1" s="1"/>
  <c r="I39" i="1" s="1"/>
  <c r="D39" i="1"/>
  <c r="E39" i="1"/>
  <c r="F39" i="1"/>
  <c r="G39" i="1" s="1"/>
  <c r="J39" i="1"/>
  <c r="K39" i="1"/>
  <c r="L39" i="1"/>
  <c r="M39" i="1" s="1"/>
  <c r="N39" i="1"/>
  <c r="O39" i="1"/>
  <c r="C40" i="1"/>
  <c r="F40" i="1" s="1"/>
  <c r="G40" i="1" s="1"/>
  <c r="D40" i="1"/>
  <c r="E40" i="1"/>
  <c r="C41" i="1"/>
  <c r="N41" i="1" s="1"/>
  <c r="O41" i="1" s="1"/>
  <c r="D41" i="1"/>
  <c r="E41" i="1"/>
  <c r="F41" i="1"/>
  <c r="G41" i="1"/>
  <c r="H41" i="1"/>
  <c r="I41" i="1"/>
  <c r="J41" i="1"/>
  <c r="K41" i="1"/>
  <c r="L41" i="1"/>
  <c r="M41" i="1" s="1"/>
  <c r="C42" i="1"/>
  <c r="H42" i="1" s="1"/>
  <c r="I42" i="1" s="1"/>
  <c r="D42" i="1"/>
  <c r="E42" i="1"/>
  <c r="F42" i="1"/>
  <c r="G42" i="1"/>
  <c r="L42" i="1"/>
  <c r="M42" i="1"/>
  <c r="N42" i="1"/>
  <c r="O42" i="1"/>
  <c r="C43" i="1"/>
  <c r="H43" i="1" s="1"/>
  <c r="I43" i="1" s="1"/>
  <c r="D43" i="1"/>
  <c r="E43" i="1"/>
  <c r="F43" i="1"/>
  <c r="G43" i="1" s="1"/>
  <c r="C44" i="1"/>
  <c r="N44" i="1" s="1"/>
  <c r="O44" i="1" s="1"/>
  <c r="D44" i="1"/>
  <c r="E44" i="1"/>
  <c r="F44" i="1"/>
  <c r="G44" i="1"/>
  <c r="H44" i="1"/>
  <c r="I44" i="1"/>
  <c r="J44" i="1"/>
  <c r="K44" i="1"/>
  <c r="L44" i="1"/>
  <c r="M44" i="1"/>
  <c r="C45" i="1"/>
  <c r="D45" i="1"/>
  <c r="E45" i="1"/>
  <c r="F45" i="1"/>
  <c r="G45" i="1"/>
  <c r="H45" i="1"/>
  <c r="I45" i="1" s="1"/>
  <c r="J45" i="1"/>
  <c r="K45" i="1"/>
  <c r="L45" i="1"/>
  <c r="M45" i="1" s="1"/>
  <c r="N45" i="1"/>
  <c r="O45" i="1"/>
  <c r="C46" i="1"/>
  <c r="H46" i="1" s="1"/>
  <c r="I46" i="1" s="1"/>
  <c r="D46" i="1"/>
  <c r="E46" i="1"/>
  <c r="F46" i="1"/>
  <c r="G46" i="1"/>
  <c r="C47" i="1"/>
  <c r="D47" i="1"/>
  <c r="E47" i="1"/>
  <c r="F47" i="1"/>
  <c r="G47" i="1" s="1"/>
  <c r="H47" i="1"/>
  <c r="I47" i="1"/>
  <c r="J47" i="1"/>
  <c r="K47" i="1"/>
  <c r="L47" i="1"/>
  <c r="M47" i="1" s="1"/>
  <c r="N47" i="1"/>
  <c r="O47" i="1" s="1"/>
  <c r="C48" i="1"/>
  <c r="J48" i="1" s="1"/>
  <c r="K48" i="1" s="1"/>
  <c r="D48" i="1"/>
  <c r="E48" i="1"/>
  <c r="F48" i="1"/>
  <c r="G48" i="1"/>
  <c r="H48" i="1"/>
  <c r="I48" i="1"/>
  <c r="L48" i="1"/>
  <c r="M48" i="1"/>
  <c r="N48" i="1"/>
  <c r="O48" i="1"/>
  <c r="C49" i="1"/>
  <c r="J49" i="1" s="1"/>
  <c r="K49" i="1" s="1"/>
  <c r="D49" i="1"/>
  <c r="E49" i="1"/>
  <c r="F49" i="1"/>
  <c r="G49" i="1"/>
  <c r="H49" i="1"/>
  <c r="I49" i="1" s="1"/>
  <c r="C50" i="1"/>
  <c r="D50" i="1" s="1"/>
  <c r="E50" i="1" s="1"/>
  <c r="J50" i="1"/>
  <c r="K50" i="1" s="1"/>
  <c r="L50" i="1"/>
  <c r="M50" i="1" s="1"/>
  <c r="N50" i="1"/>
  <c r="O50" i="1"/>
  <c r="N30" i="1"/>
  <c r="O30" i="1" s="1"/>
  <c r="N23" i="1"/>
  <c r="O23" i="1" s="1"/>
  <c r="N22" i="1"/>
  <c r="O22" i="1" s="1"/>
  <c r="N21" i="1"/>
  <c r="O21" i="1" s="1"/>
  <c r="N20" i="1"/>
  <c r="O20" i="1" s="1"/>
  <c r="N19" i="1"/>
  <c r="O19" i="1" s="1"/>
  <c r="N13" i="1"/>
  <c r="O13" i="1" s="1"/>
  <c r="N12" i="1"/>
  <c r="O12" i="1" s="1"/>
  <c r="N11" i="1"/>
  <c r="O11" i="1" s="1"/>
  <c r="N10" i="1"/>
  <c r="O10" i="1" s="1"/>
  <c r="N6" i="1"/>
  <c r="O6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5" i="1"/>
  <c r="M15" i="1" s="1"/>
  <c r="L14" i="1"/>
  <c r="M14" i="1" s="1"/>
  <c r="L13" i="1"/>
  <c r="M13" i="1" s="1"/>
  <c r="L12" i="1"/>
  <c r="M12" i="1" s="1"/>
  <c r="L8" i="1"/>
  <c r="M8" i="1" s="1"/>
  <c r="L7" i="1"/>
  <c r="M7" i="1" s="1"/>
  <c r="L6" i="1"/>
  <c r="M6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8" i="1"/>
  <c r="K8" i="1" s="1"/>
  <c r="J7" i="1"/>
  <c r="K7" i="1" s="1"/>
  <c r="J6" i="1"/>
  <c r="K6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0" i="1"/>
  <c r="I20" i="1" s="1"/>
  <c r="H19" i="1"/>
  <c r="I19" i="1" s="1"/>
  <c r="H11" i="1"/>
  <c r="I11" i="1" s="1"/>
  <c r="H10" i="1"/>
  <c r="I10" i="1" s="1"/>
  <c r="H7" i="1"/>
  <c r="I7" i="1" s="1"/>
  <c r="H6" i="1"/>
  <c r="I6" i="1" s="1"/>
  <c r="F30" i="1"/>
  <c r="G30" i="1" s="1"/>
  <c r="F7" i="1"/>
  <c r="G7" i="1" s="1"/>
  <c r="F8" i="1"/>
  <c r="G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D7" i="1"/>
  <c r="D8" i="1"/>
  <c r="D19" i="1"/>
  <c r="D20" i="1"/>
  <c r="E20" i="1" s="1"/>
  <c r="D21" i="1"/>
  <c r="D22" i="1"/>
  <c r="D23" i="1"/>
  <c r="E23" i="1" s="1"/>
  <c r="D24" i="1"/>
  <c r="D25" i="1"/>
  <c r="D6" i="1"/>
  <c r="C6" i="1"/>
  <c r="F6" i="1" s="1"/>
  <c r="G6" i="1" s="1"/>
  <c r="C7" i="1"/>
  <c r="N7" i="1" s="1"/>
  <c r="O7" i="1" s="1"/>
  <c r="C8" i="1"/>
  <c r="N8" i="1" s="1"/>
  <c r="O8" i="1" s="1"/>
  <c r="C9" i="1"/>
  <c r="N9" i="1" s="1"/>
  <c r="O9" i="1" s="1"/>
  <c r="C10" i="1"/>
  <c r="L10" i="1" s="1"/>
  <c r="M10" i="1" s="1"/>
  <c r="C11" i="1"/>
  <c r="L11" i="1" s="1"/>
  <c r="M11" i="1" s="1"/>
  <c r="C12" i="1"/>
  <c r="C13" i="1"/>
  <c r="C14" i="1"/>
  <c r="C15" i="1"/>
  <c r="C16" i="1"/>
  <c r="C17" i="1"/>
  <c r="C18" i="1"/>
  <c r="C19" i="1"/>
  <c r="C20" i="1"/>
  <c r="C21" i="1"/>
  <c r="H21" i="1" s="1"/>
  <c r="I21" i="1" s="1"/>
  <c r="C22" i="1"/>
  <c r="H22" i="1" s="1"/>
  <c r="I22" i="1" s="1"/>
  <c r="C23" i="1"/>
  <c r="H23" i="1" s="1"/>
  <c r="I23" i="1" s="1"/>
  <c r="C24" i="1"/>
  <c r="N24" i="1" s="1"/>
  <c r="O24" i="1" s="1"/>
  <c r="C25" i="1"/>
  <c r="N25" i="1" s="1"/>
  <c r="O25" i="1" s="1"/>
  <c r="C26" i="1"/>
  <c r="D26" i="1" s="1"/>
  <c r="C27" i="1"/>
  <c r="D27" i="1" s="1"/>
  <c r="C28" i="1"/>
  <c r="C29" i="1"/>
  <c r="C30" i="1"/>
  <c r="L30" i="1" s="1"/>
  <c r="M30" i="1" s="1"/>
  <c r="C23" i="5" l="1"/>
  <c r="C22" i="5"/>
  <c r="C9" i="5"/>
  <c r="C42" i="5"/>
  <c r="C41" i="5"/>
  <c r="C40" i="5"/>
  <c r="C48" i="5"/>
  <c r="C47" i="5"/>
  <c r="C46" i="5"/>
  <c r="C45" i="5"/>
  <c r="C44" i="5"/>
  <c r="C21" i="5"/>
  <c r="C10" i="5"/>
  <c r="C43" i="5"/>
  <c r="C7" i="5"/>
  <c r="C27" i="5"/>
  <c r="C26" i="5"/>
  <c r="C49" i="5"/>
  <c r="C19" i="5"/>
  <c r="C50" i="5"/>
  <c r="C20" i="5"/>
  <c r="C8" i="5"/>
  <c r="C39" i="5"/>
  <c r="C30" i="5"/>
  <c r="C29" i="5"/>
  <c r="C28" i="5"/>
  <c r="C25" i="5"/>
  <c r="C24" i="5"/>
  <c r="C37" i="5"/>
  <c r="C17" i="5"/>
  <c r="C36" i="5"/>
  <c r="C16" i="5"/>
  <c r="C54" i="5"/>
  <c r="C34" i="5"/>
  <c r="C14" i="5"/>
  <c r="C18" i="5"/>
  <c r="C6" i="5"/>
  <c r="C56" i="5"/>
  <c r="C55" i="5"/>
  <c r="C35" i="5"/>
  <c r="C53" i="5"/>
  <c r="C33" i="5"/>
  <c r="C13" i="5"/>
  <c r="C52" i="5"/>
  <c r="C32" i="5"/>
  <c r="C12" i="5"/>
  <c r="C38" i="5"/>
  <c r="C15" i="5"/>
  <c r="C51" i="5"/>
  <c r="C31" i="5"/>
  <c r="J35" i="3"/>
  <c r="H33" i="3"/>
  <c r="J46" i="3"/>
  <c r="H44" i="3"/>
  <c r="I35" i="3"/>
  <c r="I46" i="3"/>
  <c r="J37" i="3"/>
  <c r="H35" i="3"/>
  <c r="F33" i="3"/>
  <c r="J30" i="3"/>
  <c r="G21" i="3"/>
  <c r="J48" i="3"/>
  <c r="H46" i="3"/>
  <c r="F44" i="3"/>
  <c r="K39" i="3"/>
  <c r="I37" i="3"/>
  <c r="G35" i="3"/>
  <c r="E33" i="3"/>
  <c r="I30" i="3"/>
  <c r="F21" i="3"/>
  <c r="K46" i="3"/>
  <c r="I44" i="3"/>
  <c r="K37" i="3"/>
  <c r="G33" i="3"/>
  <c r="K48" i="3"/>
  <c r="G44" i="3"/>
  <c r="E44" i="3"/>
  <c r="F35" i="3"/>
  <c r="D33" i="3"/>
  <c r="E21" i="3"/>
  <c r="H31" i="3"/>
  <c r="I51" i="3"/>
  <c r="G49" i="3"/>
  <c r="E47" i="3"/>
  <c r="H40" i="3"/>
  <c r="F38" i="3"/>
  <c r="K33" i="3"/>
  <c r="G31" i="3"/>
  <c r="G22" i="3"/>
  <c r="E18" i="3"/>
  <c r="I38" i="3"/>
  <c r="I49" i="3"/>
  <c r="H38" i="3"/>
  <c r="I40" i="3"/>
  <c r="G38" i="3"/>
  <c r="H51" i="3"/>
  <c r="F49" i="3"/>
  <c r="K44" i="3"/>
  <c r="G40" i="3"/>
  <c r="E38" i="3"/>
  <c r="J33" i="3"/>
  <c r="F31" i="3"/>
  <c r="F22" i="3"/>
  <c r="I31" i="3"/>
  <c r="H49" i="3"/>
  <c r="D5" i="3"/>
  <c r="H50" i="1"/>
  <c r="I50" i="1" s="1"/>
  <c r="H33" i="1"/>
  <c r="I33" i="1" s="1"/>
  <c r="F50" i="1"/>
  <c r="G50" i="1" s="1"/>
  <c r="J42" i="1"/>
  <c r="K42" i="1" s="1"/>
  <c r="H36" i="1"/>
  <c r="I36" i="1" s="1"/>
  <c r="N34" i="1"/>
  <c r="O34" i="1" s="1"/>
  <c r="N37" i="1"/>
  <c r="O37" i="1" s="1"/>
  <c r="N40" i="1"/>
  <c r="O40" i="1" s="1"/>
  <c r="L34" i="1"/>
  <c r="M34" i="1" s="1"/>
  <c r="N43" i="1"/>
  <c r="O43" i="1" s="1"/>
  <c r="L37" i="1"/>
  <c r="M37" i="1" s="1"/>
  <c r="N46" i="1"/>
  <c r="O46" i="1" s="1"/>
  <c r="L40" i="1"/>
  <c r="M40" i="1" s="1"/>
  <c r="J34" i="1"/>
  <c r="K34" i="1" s="1"/>
  <c r="N49" i="1"/>
  <c r="O49" i="1" s="1"/>
  <c r="L43" i="1"/>
  <c r="M43" i="1" s="1"/>
  <c r="J37" i="1"/>
  <c r="K37" i="1" s="1"/>
  <c r="L46" i="1"/>
  <c r="M46" i="1" s="1"/>
  <c r="J40" i="1"/>
  <c r="K40" i="1" s="1"/>
  <c r="H34" i="1"/>
  <c r="I34" i="1" s="1"/>
  <c r="N32" i="1"/>
  <c r="O32" i="1" s="1"/>
  <c r="L49" i="1"/>
  <c r="M49" i="1" s="1"/>
  <c r="J43" i="1"/>
  <c r="K43" i="1" s="1"/>
  <c r="H37" i="1"/>
  <c r="I37" i="1" s="1"/>
  <c r="N35" i="1"/>
  <c r="O35" i="1" s="1"/>
  <c r="J46" i="1"/>
  <c r="K46" i="1" s="1"/>
  <c r="H40" i="1"/>
  <c r="I40" i="1" s="1"/>
  <c r="N38" i="1"/>
  <c r="O38" i="1" s="1"/>
  <c r="F34" i="1"/>
  <c r="G34" i="1" s="1"/>
  <c r="L32" i="1"/>
  <c r="M32" i="1" s="1"/>
  <c r="J17" i="1"/>
  <c r="K17" i="1" s="1"/>
  <c r="H17" i="1"/>
  <c r="I17" i="1" s="1"/>
  <c r="F17" i="1"/>
  <c r="G17" i="1" s="1"/>
  <c r="D17" i="1"/>
  <c r="N17" i="1"/>
  <c r="O17" i="1" s="1"/>
  <c r="L17" i="1"/>
  <c r="M17" i="1" s="1"/>
  <c r="H18" i="1"/>
  <c r="I18" i="1" s="1"/>
  <c r="F18" i="1"/>
  <c r="G18" i="1" s="1"/>
  <c r="N18" i="1"/>
  <c r="O18" i="1" s="1"/>
  <c r="D18" i="1"/>
  <c r="E18" i="1" s="1"/>
  <c r="L18" i="1"/>
  <c r="M18" i="1" s="1"/>
  <c r="J15" i="1"/>
  <c r="K15" i="1" s="1"/>
  <c r="F15" i="1"/>
  <c r="G15" i="1" s="1"/>
  <c r="H15" i="1"/>
  <c r="I15" i="1" s="1"/>
  <c r="D15" i="1"/>
  <c r="E15" i="1" s="1"/>
  <c r="N15" i="1"/>
  <c r="O15" i="1" s="1"/>
  <c r="J16" i="1"/>
  <c r="K16" i="1" s="1"/>
  <c r="H16" i="1"/>
  <c r="I16" i="1" s="1"/>
  <c r="F16" i="1"/>
  <c r="G16" i="1" s="1"/>
  <c r="D16" i="1"/>
  <c r="E16" i="1" s="1"/>
  <c r="N16" i="1"/>
  <c r="O16" i="1" s="1"/>
  <c r="L16" i="1"/>
  <c r="M16" i="1" s="1"/>
  <c r="J14" i="1"/>
  <c r="K14" i="1" s="1"/>
  <c r="F14" i="1"/>
  <c r="G14" i="1" s="1"/>
  <c r="D14" i="1"/>
  <c r="E14" i="1" s="1"/>
  <c r="H14" i="1"/>
  <c r="I14" i="1" s="1"/>
  <c r="N14" i="1"/>
  <c r="O14" i="1" s="1"/>
  <c r="H12" i="1"/>
  <c r="I12" i="1" s="1"/>
  <c r="H13" i="1"/>
  <c r="I13" i="1" s="1"/>
  <c r="E29" i="1"/>
  <c r="J10" i="1"/>
  <c r="K10" i="1" s="1"/>
  <c r="J11" i="1"/>
  <c r="K11" i="1" s="1"/>
  <c r="D13" i="1"/>
  <c r="E13" i="1" s="1"/>
  <c r="J28" i="1"/>
  <c r="K28" i="1" s="1"/>
  <c r="D12" i="1"/>
  <c r="E12" i="1" s="1"/>
  <c r="J12" i="1"/>
  <c r="K12" i="1" s="1"/>
  <c r="J29" i="1"/>
  <c r="K29" i="1" s="1"/>
  <c r="L25" i="1"/>
  <c r="M25" i="1" s="1"/>
  <c r="D11" i="1"/>
  <c r="F13" i="1"/>
  <c r="G13" i="1" s="1"/>
  <c r="J13" i="1"/>
  <c r="K13" i="1" s="1"/>
  <c r="J30" i="1"/>
  <c r="K30" i="1" s="1"/>
  <c r="L26" i="1"/>
  <c r="M26" i="1" s="1"/>
  <c r="D30" i="1"/>
  <c r="E30" i="1" s="1"/>
  <c r="D10" i="1"/>
  <c r="F12" i="1"/>
  <c r="G12" i="1" s="1"/>
  <c r="L27" i="1"/>
  <c r="M27" i="1" s="1"/>
  <c r="D29" i="1"/>
  <c r="F11" i="1"/>
  <c r="G11" i="1" s="1"/>
  <c r="L28" i="1"/>
  <c r="M28" i="1" s="1"/>
  <c r="N26" i="1"/>
  <c r="O26" i="1" s="1"/>
  <c r="D28" i="1"/>
  <c r="E28" i="1" s="1"/>
  <c r="F10" i="1"/>
  <c r="G10" i="1" s="1"/>
  <c r="L29" i="1"/>
  <c r="M29" i="1" s="1"/>
  <c r="N27" i="1"/>
  <c r="O27" i="1" s="1"/>
  <c r="F29" i="1"/>
  <c r="G29" i="1" s="1"/>
  <c r="N28" i="1"/>
  <c r="O28" i="1" s="1"/>
  <c r="F28" i="1"/>
  <c r="G28" i="1" s="1"/>
  <c r="N29" i="1"/>
  <c r="O29" i="1" s="1"/>
  <c r="J9" i="1"/>
  <c r="K9" i="1" s="1"/>
  <c r="D9" i="1"/>
  <c r="L9" i="1"/>
  <c r="M9" i="1" s="1"/>
  <c r="E9" i="1"/>
  <c r="F9" i="1"/>
  <c r="G9" i="1" s="1"/>
  <c r="H9" i="1"/>
  <c r="I9" i="1" s="1"/>
  <c r="H8" i="1"/>
  <c r="I8" i="1" s="1"/>
  <c r="E8" i="1"/>
  <c r="E11" i="1"/>
  <c r="E10" i="1"/>
  <c r="E17" i="1"/>
  <c r="E27" i="1"/>
  <c r="E7" i="1"/>
  <c r="E26" i="1"/>
  <c r="E25" i="1"/>
  <c r="E24" i="1"/>
  <c r="E22" i="1"/>
  <c r="E21" i="1"/>
  <c r="E19" i="1"/>
  <c r="E6" i="1"/>
</calcChain>
</file>

<file path=xl/sharedStrings.xml><?xml version="1.0" encoding="utf-8"?>
<sst xmlns="http://schemas.openxmlformats.org/spreadsheetml/2006/main" count="69" uniqueCount="13">
  <si>
    <t>DEG</t>
  </si>
  <si>
    <t>RAD</t>
  </si>
  <si>
    <t>Ma</t>
  </si>
  <si>
    <t>Stoßwinkel σ</t>
  </si>
  <si>
    <r>
      <t>Umlenkungswinkel</t>
    </r>
    <r>
      <rPr>
        <i/>
        <sz val="11"/>
        <color theme="0"/>
        <rFont val="CMU Serif"/>
      </rPr>
      <t xml:space="preserve"> θ</t>
    </r>
  </si>
  <si>
    <r>
      <t>Stoßwinkel</t>
    </r>
    <r>
      <rPr>
        <i/>
        <sz val="11"/>
        <color theme="0"/>
        <rFont val="CMU Serif"/>
      </rPr>
      <t xml:space="preserve"> σ</t>
    </r>
  </si>
  <si>
    <t>Fläche</t>
  </si>
  <si>
    <t>Temperatur</t>
  </si>
  <si>
    <t>Geschwindigkeit</t>
  </si>
  <si>
    <t>Dichte</t>
  </si>
  <si>
    <t>Druck</t>
  </si>
  <si>
    <t>Verhältnis</t>
  </si>
  <si>
    <t>Druckverh.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</si>
</sst>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Ma = &quot;0.0"/>
    <numFmt numFmtId="165" formatCode="0.000"/>
    <numFmt numFmtId="166" formatCode="&quot;θ = &quot;0&quot;°&quot;"/>
    <numFmt numFmtId="167" formatCode="&quot;= &quot;0.000&quot; RAD&quot;"/>
    <numFmt numFmtId="168" formatCode="0.0000"/>
    <numFmt numFmtId="169" formatCode="&quot;→ σ = &quot;0.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MU Serif"/>
    </font>
    <font>
      <sz val="11"/>
      <color theme="0"/>
      <name val="CMU Serif"/>
    </font>
    <font>
      <i/>
      <sz val="11"/>
      <color theme="0"/>
      <name val="CMU Serif"/>
    </font>
    <font>
      <sz val="11"/>
      <color theme="1" tint="0.499984740745262"/>
      <name val="CMU Serif"/>
    </font>
    <font>
      <sz val="11"/>
      <color theme="0" tint="-0.499984740745262"/>
      <name val="CMU Serif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0" borderId="1" xfId="0" applyFont="1" applyBorder="1"/>
    <xf numFmtId="165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168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8" fontId="0" fillId="0" borderId="1" xfId="0" applyNumberFormat="1" applyBorder="1"/>
    <xf numFmtId="169" fontId="2" fillId="2" borderId="1" xfId="0" applyNumberFormat="1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 vertical="top"/>
    </xf>
    <xf numFmtId="168" fontId="1" fillId="0" borderId="11" xfId="0" applyNumberFormat="1" applyFont="1" applyBorder="1" applyAlignment="1">
      <alignment horizontal="center"/>
    </xf>
    <xf numFmtId="168" fontId="1" fillId="0" borderId="12" xfId="0" applyNumberFormat="1" applyFont="1" applyBorder="1" applyAlignment="1">
      <alignment horizontal="center"/>
    </xf>
    <xf numFmtId="168" fontId="1" fillId="4" borderId="1" xfId="0" applyNumberFormat="1" applyFont="1" applyFill="1" applyBorder="1" applyAlignment="1">
      <alignment horizontal="center"/>
    </xf>
    <xf numFmtId="2" fontId="1" fillId="0" borderId="0" xfId="0" applyNumberFormat="1" applyFont="1"/>
    <xf numFmtId="2" fontId="1" fillId="3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2" fontId="0" fillId="0" borderId="0" xfId="0" applyNumberFormat="1"/>
    <xf numFmtId="0" fontId="5" fillId="2" borderId="11" xfId="0" applyFont="1" applyFill="1" applyBorder="1" applyAlignment="1">
      <alignment horizontal="center" vertical="top"/>
    </xf>
    <xf numFmtId="165" fontId="1" fillId="0" borderId="0" xfId="0" applyNumberFormat="1" applyFont="1"/>
    <xf numFmtId="165" fontId="1" fillId="3" borderId="11" xfId="0" applyNumberFormat="1" applyFont="1" applyFill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165" fontId="1" fillId="3" borderId="12" xfId="0" applyNumberFormat="1" applyFont="1" applyFill="1" applyBorder="1" applyAlignment="1">
      <alignment horizont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166" fontId="2" fillId="2" borderId="9" xfId="0" applyNumberFormat="1" applyFont="1" applyFill="1" applyBorder="1" applyAlignment="1">
      <alignment horizontal="center" vertical="top"/>
    </xf>
    <xf numFmtId="166" fontId="2" fillId="2" borderId="10" xfId="0" applyNumberFormat="1" applyFont="1" applyFill="1" applyBorder="1" applyAlignment="1">
      <alignment horizontal="center" vertical="top"/>
    </xf>
    <xf numFmtId="165" fontId="2" fillId="2" borderId="9" xfId="0" applyNumberFormat="1" applyFont="1" applyFill="1" applyBorder="1" applyAlignment="1">
      <alignment horizontal="center"/>
    </xf>
    <xf numFmtId="165" fontId="2" fillId="2" borderId="10" xfId="0" applyNumberFormat="1" applyFont="1" applyFill="1" applyBorder="1" applyAlignment="1">
      <alignment horizontal="center"/>
    </xf>
    <xf numFmtId="165" fontId="2" fillId="2" borderId="11" xfId="0" applyNumberFormat="1" applyFont="1" applyFill="1" applyBorder="1" applyAlignment="1">
      <alignment horizontal="center"/>
    </xf>
    <xf numFmtId="2" fontId="2" fillId="2" borderId="9" xfId="0" applyNumberFormat="1" applyFont="1" applyFill="1" applyBorder="1" applyAlignment="1">
      <alignment horizontal="center" wrapText="1"/>
    </xf>
    <xf numFmtId="2" fontId="2" fillId="2" borderId="10" xfId="0" applyNumberFormat="1" applyFont="1" applyFill="1" applyBorder="1" applyAlignment="1">
      <alignment horizontal="center" wrapText="1"/>
    </xf>
    <xf numFmtId="2" fontId="2" fillId="2" borderId="11" xfId="0" applyNumberFormat="1" applyFont="1" applyFill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8E4000"/>
      <color rgb="FF1D79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270972686872918E-2"/>
          <c:y val="4.5925090418986916E-2"/>
          <c:w val="0.86100755784392846"/>
          <c:h val="0.8802922812597461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'Adiabate-Vorgänge'!$C$3</c:f>
              <c:strCache>
                <c:ptCount val="1"/>
                <c:pt idx="0">
                  <c:v>Fläche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'Adiabate-Vorgänge'!$C$4:$C$34</c:f>
              <c:numCache>
                <c:formatCode>0.0000</c:formatCode>
                <c:ptCount val="31"/>
                <c:pt idx="1">
                  <c:v>5.8218287500000008</c:v>
                </c:pt>
                <c:pt idx="2">
                  <c:v>2.9635200000000008</c:v>
                </c:pt>
                <c:pt idx="3">
                  <c:v>2.0350652623456793</c:v>
                </c:pt>
                <c:pt idx="4">
                  <c:v>1.5901400000000003</c:v>
                </c:pt>
                <c:pt idx="5">
                  <c:v>1.3398437500000004</c:v>
                </c:pt>
                <c:pt idx="6">
                  <c:v>1.1881995061728399</c:v>
                </c:pt>
                <c:pt idx="7">
                  <c:v>1.0943726785714283</c:v>
                </c:pt>
                <c:pt idx="8">
                  <c:v>1.0382300000000004</c:v>
                </c:pt>
                <c:pt idx="9">
                  <c:v>1.0088628652263374</c:v>
                </c:pt>
                <c:pt idx="10">
                  <c:v>1</c:v>
                </c:pt>
                <c:pt idx="11">
                  <c:v>1.0079253409090911</c:v>
                </c:pt>
                <c:pt idx="12">
                  <c:v>1.0304397530864196</c:v>
                </c:pt>
                <c:pt idx="13">
                  <c:v>1.0663045192307699</c:v>
                </c:pt>
                <c:pt idx="14">
                  <c:v>1.1149257142857143</c:v>
                </c:pt>
                <c:pt idx="15">
                  <c:v>1.1761670524691357</c:v>
                </c:pt>
                <c:pt idx="16">
                  <c:v>1.250235</c:v>
                </c:pt>
                <c:pt idx="17">
                  <c:v>1.3376063970588237</c:v>
                </c:pt>
                <c:pt idx="18">
                  <c:v>1.4389820576131689</c:v>
                </c:pt>
                <c:pt idx="19">
                  <c:v>1.5552567763157896</c:v>
                </c:pt>
                <c:pt idx="20">
                  <c:v>1.6875000000000004</c:v>
                </c:pt>
                <c:pt idx="21">
                  <c:v>1.8369436089065252</c:v>
                </c:pt>
                <c:pt idx="22">
                  <c:v>2.0049745454545462</c:v>
                </c:pt>
                <c:pt idx="23">
                  <c:v>2.1931308152173914</c:v>
                </c:pt>
                <c:pt idx="24">
                  <c:v>2.4030998765432106</c:v>
                </c:pt>
                <c:pt idx="25">
                  <c:v>2.6367187500000004</c:v>
                </c:pt>
                <c:pt idx="26">
                  <c:v>2.8959753846153848</c:v>
                </c:pt>
                <c:pt idx="27">
                  <c:v>3.183010955075448</c:v>
                </c:pt>
                <c:pt idx="28">
                  <c:v>3.5001228571428573</c:v>
                </c:pt>
                <c:pt idx="29">
                  <c:v>3.8497682327586227</c:v>
                </c:pt>
                <c:pt idx="30">
                  <c:v>4.2345679012345698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DCB4-4CEA-BD79-06FFE4AECE63}"/>
            </c:ext>
          </c:extLst>
        </c:ser>
        <c:ser>
          <c:idx val="1"/>
          <c:order val="1"/>
          <c:tx>
            <c:strRef>
              <c:f>'Adiabate-Vorgänge'!$D$3</c:f>
              <c:strCache>
                <c:ptCount val="1"/>
                <c:pt idx="0">
                  <c:v>Temperatur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'Adiabate-Vorgänge'!$D$4:$D$34</c:f>
              <c:numCache>
                <c:formatCode>0.0000</c:formatCode>
                <c:ptCount val="31"/>
                <c:pt idx="0">
                  <c:v>1</c:v>
                </c:pt>
                <c:pt idx="1">
                  <c:v>0.99800399201596801</c:v>
                </c:pt>
                <c:pt idx="2">
                  <c:v>0.99206349206349209</c:v>
                </c:pt>
                <c:pt idx="3">
                  <c:v>0.98231827111984282</c:v>
                </c:pt>
                <c:pt idx="4">
                  <c:v>0.96899224806201545</c:v>
                </c:pt>
                <c:pt idx="5">
                  <c:v>0.95238095238095233</c:v>
                </c:pt>
                <c:pt idx="6">
                  <c:v>0.93283582089552231</c:v>
                </c:pt>
                <c:pt idx="7">
                  <c:v>0.91074681238615673</c:v>
                </c:pt>
                <c:pt idx="8">
                  <c:v>0.88652482269503541</c:v>
                </c:pt>
                <c:pt idx="9">
                  <c:v>0.86058519793459554</c:v>
                </c:pt>
                <c:pt idx="10">
                  <c:v>0.83333333333333337</c:v>
                </c:pt>
                <c:pt idx="11">
                  <c:v>0.80515297906602257</c:v>
                </c:pt>
                <c:pt idx="12">
                  <c:v>0.77639751552795044</c:v>
                </c:pt>
                <c:pt idx="13">
                  <c:v>0.74738415545590431</c:v>
                </c:pt>
                <c:pt idx="14">
                  <c:v>0.71839080459770122</c:v>
                </c:pt>
                <c:pt idx="15">
                  <c:v>0.68965517241379315</c:v>
                </c:pt>
                <c:pt idx="16">
                  <c:v>0.66137566137566139</c:v>
                </c:pt>
                <c:pt idx="17">
                  <c:v>0.63371356147021551</c:v>
                </c:pt>
                <c:pt idx="18">
                  <c:v>0.60679611650485443</c:v>
                </c:pt>
                <c:pt idx="19">
                  <c:v>0.58072009291521487</c:v>
                </c:pt>
                <c:pt idx="20">
                  <c:v>0.55555555555555558</c:v>
                </c:pt>
                <c:pt idx="21">
                  <c:v>0.53134962805526043</c:v>
                </c:pt>
                <c:pt idx="22">
                  <c:v>0.50813008130081305</c:v>
                </c:pt>
                <c:pt idx="23">
                  <c:v>0.48590864917395532</c:v>
                </c:pt>
                <c:pt idx="24">
                  <c:v>0.46468401486988853</c:v>
                </c:pt>
                <c:pt idx="25">
                  <c:v>0.44444444444444442</c:v>
                </c:pt>
                <c:pt idx="26">
                  <c:v>0.42517006802721091</c:v>
                </c:pt>
                <c:pt idx="27">
                  <c:v>0.4068348250610252</c:v>
                </c:pt>
                <c:pt idx="28">
                  <c:v>0.38940809968847356</c:v>
                </c:pt>
                <c:pt idx="29">
                  <c:v>0.37285607755406419</c:v>
                </c:pt>
                <c:pt idx="30">
                  <c:v>0.35714285714285715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DCB4-4CEA-BD79-06FFE4AECE63}"/>
            </c:ext>
          </c:extLst>
        </c:ser>
        <c:ser>
          <c:idx val="2"/>
          <c:order val="2"/>
          <c:tx>
            <c:strRef>
              <c:f>'Adiabate-Vorgänge'!$E$3</c:f>
              <c:strCache>
                <c:ptCount val="1"/>
                <c:pt idx="0">
                  <c:v>Geschwindigkeit</c:v>
                </c:pt>
              </c:strCache>
            </c:strRef>
          </c:tx>
          <c:spPr>
            <a:ln w="19050" cap="rnd">
              <a:solidFill>
                <a:srgbClr val="1D792A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rgbClr val="1D792A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1D792A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'Adiabate-Vorgänge'!$E$4:$E$34</c:f>
              <c:numCache>
                <c:formatCode>0.0000</c:formatCode>
                <c:ptCount val="31"/>
                <c:pt idx="0">
                  <c:v>0</c:v>
                </c:pt>
                <c:pt idx="1">
                  <c:v>0.10943513103291656</c:v>
                </c:pt>
                <c:pt idx="2">
                  <c:v>0.21821789023599239</c:v>
                </c:pt>
                <c:pt idx="3">
                  <c:v>0.32571517201527939</c:v>
                </c:pt>
                <c:pt idx="4">
                  <c:v>0.4313310928137537</c:v>
                </c:pt>
                <c:pt idx="5">
                  <c:v>0.53452248382484879</c:v>
                </c:pt>
                <c:pt idx="6">
                  <c:v>0.63481105427273843</c:v>
                </c:pt>
                <c:pt idx="7">
                  <c:v>0.73179172288504324</c:v>
                </c:pt>
                <c:pt idx="8">
                  <c:v>0.8251369970070348</c:v>
                </c:pt>
                <c:pt idx="9">
                  <c:v>0.91459762321603855</c:v>
                </c:pt>
                <c:pt idx="10">
                  <c:v>1</c:v>
                </c:pt>
                <c:pt idx="11">
                  <c:v>1.081241011802579</c:v>
                </c:pt>
                <c:pt idx="12">
                  <c:v>1.1582810137580164</c:v>
                </c:pt>
                <c:pt idx="13">
                  <c:v>1.2311356819069839</c:v>
                </c:pt>
                <c:pt idx="14">
                  <c:v>1.299867367239363</c:v>
                </c:pt>
                <c:pt idx="15">
                  <c:v>1.3645764784420262</c:v>
                </c:pt>
                <c:pt idx="16">
                  <c:v>1.4253932901995967</c:v>
                </c:pt>
                <c:pt idx="17">
                  <c:v>1.482470448669621</c:v>
                </c:pt>
                <c:pt idx="18">
                  <c:v>1.5359763347691506</c:v>
                </c:pt>
                <c:pt idx="19">
                  <c:v>1.5860893551463962</c:v>
                </c:pt>
                <c:pt idx="20">
                  <c:v>1.6329931618554521</c:v>
                </c:pt>
                <c:pt idx="21">
                  <c:v>1.6768727535708958</c:v>
                </c:pt>
                <c:pt idx="22">
                  <c:v>1.7179113807746669</c:v>
                </c:pt>
                <c:pt idx="23">
                  <c:v>1.7562881611387888</c:v>
                </c:pt>
                <c:pt idx="24">
                  <c:v>1.7921763057190185</c:v>
                </c:pt>
                <c:pt idx="25">
                  <c:v>1.8257418583505538</c:v>
                </c:pt>
                <c:pt idx="26">
                  <c:v>1.8571428571428572</c:v>
                </c:pt>
                <c:pt idx="27">
                  <c:v>1.8865288361522197</c:v>
                </c:pt>
                <c:pt idx="28">
                  <c:v>1.9140405956690569</c:v>
                </c:pt>
                <c:pt idx="29">
                  <c:v>1.9398101800628886</c:v>
                </c:pt>
                <c:pt idx="30">
                  <c:v>1.9639610121239313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DCB4-4CEA-BD79-06FFE4AECE63}"/>
            </c:ext>
          </c:extLst>
        </c:ser>
        <c:ser>
          <c:idx val="3"/>
          <c:order val="3"/>
          <c:tx>
            <c:strRef>
              <c:f>'Adiabate-Vorgänge'!$F$3</c:f>
              <c:strCache>
                <c:ptCount val="1"/>
                <c:pt idx="0">
                  <c:v>Druck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'Adiabate-Vorgänge'!$F$4:$F$34</c:f>
              <c:numCache>
                <c:formatCode>0.0000</c:formatCode>
                <c:ptCount val="31"/>
                <c:pt idx="0">
                  <c:v>1</c:v>
                </c:pt>
                <c:pt idx="1">
                  <c:v>0.99303138487425191</c:v>
                </c:pt>
                <c:pt idx="2">
                  <c:v>0.97249670295577673</c:v>
                </c:pt>
                <c:pt idx="3">
                  <c:v>0.93946969849401596</c:v>
                </c:pt>
                <c:pt idx="4">
                  <c:v>0.89561438304823826</c:v>
                </c:pt>
                <c:pt idx="5">
                  <c:v>0.843019175422553</c:v>
                </c:pt>
                <c:pt idx="6">
                  <c:v>0.78400395086944386</c:v>
                </c:pt>
                <c:pt idx="7">
                  <c:v>0.72092786099191564</c:v>
                </c:pt>
                <c:pt idx="8">
                  <c:v>0.65602161835897499</c:v>
                </c:pt>
                <c:pt idx="9">
                  <c:v>0.59126007183559093</c:v>
                </c:pt>
                <c:pt idx="10">
                  <c:v>0.52828178771717416</c:v>
                </c:pt>
                <c:pt idx="11">
                  <c:v>0.46835419504729736</c:v>
                </c:pt>
                <c:pt idx="12">
                  <c:v>0.41237704231114203</c:v>
                </c:pt>
                <c:pt idx="13">
                  <c:v>0.36091389540913593</c:v>
                </c:pt>
                <c:pt idx="14">
                  <c:v>0.31424087582682697</c:v>
                </c:pt>
                <c:pt idx="15">
                  <c:v>0.27240306647665746</c:v>
                </c:pt>
                <c:pt idx="16">
                  <c:v>0.23527118012648238</c:v>
                </c:pt>
                <c:pt idx="17">
                  <c:v>0.20259349840383614</c:v>
                </c:pt>
                <c:pt idx="18">
                  <c:v>0.17404028036546976</c:v>
                </c:pt>
                <c:pt idx="19">
                  <c:v>0.1492395686387889</c:v>
                </c:pt>
                <c:pt idx="20">
                  <c:v>0.12780452546295096</c:v>
                </c:pt>
                <c:pt idx="21">
                  <c:v>0.10935315892526694</c:v>
                </c:pt>
                <c:pt idx="22">
                  <c:v>9.3521652196252178E-2</c:v>
                </c:pt>
                <c:pt idx="23">
                  <c:v>7.9972597763428202E-2</c:v>
                </c:pt>
                <c:pt idx="24">
                  <c:v>6.8399364314233005E-2</c:v>
                </c:pt>
                <c:pt idx="25">
                  <c:v>5.8527663465935055E-2</c:v>
                </c:pt>
                <c:pt idx="26">
                  <c:v>5.0115190907340866E-2</c:v>
                </c:pt>
                <c:pt idx="27">
                  <c:v>4.2950025407012211E-2</c:v>
                </c:pt>
                <c:pt idx="28">
                  <c:v>3.6848297935959264E-2</c:v>
                </c:pt>
                <c:pt idx="29">
                  <c:v>3.1651499719626247E-2</c:v>
                </c:pt>
                <c:pt idx="30">
                  <c:v>2.7223683703862831E-2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DCB4-4CEA-BD79-06FFE4AECE63}"/>
            </c:ext>
          </c:extLst>
        </c:ser>
        <c:ser>
          <c:idx val="4"/>
          <c:order val="4"/>
          <c:tx>
            <c:strRef>
              <c:f>'Adiabate-Vorgänge'!$G$3</c:f>
              <c:strCache>
                <c:ptCount val="1"/>
                <c:pt idx="0">
                  <c:v>Dichte</c:v>
                </c:pt>
              </c:strCache>
            </c:strRef>
          </c:tx>
          <c:spPr>
            <a:ln w="19050" cap="rnd">
              <a:solidFill>
                <a:srgbClr val="8E4000"/>
              </a:solidFill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noFill/>
                <a:ln w="9525">
                  <a:solidFill>
                    <a:srgbClr val="8E4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DCB4-4CEA-BD79-06FFE4AECE63}"/>
              </c:ext>
            </c:extLst>
          </c:dPt>
          <c:xVal>
            <c:numRef>
              <c:f>'Adiabate-Vorgänge'!$B$4:$B$34</c:f>
              <c:numCache>
                <c:formatCode>General</c:formatCode>
                <c:ptCount val="3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'Adiabate-Vorgänge'!$G$4:$G$34</c:f>
              <c:numCache>
                <c:formatCode>0.0000</c:formatCode>
                <c:ptCount val="31"/>
                <c:pt idx="0">
                  <c:v>1</c:v>
                </c:pt>
                <c:pt idx="1">
                  <c:v>0.99501744764400046</c:v>
                </c:pt>
                <c:pt idx="2">
                  <c:v>0.98027667657942297</c:v>
                </c:pt>
                <c:pt idx="3">
                  <c:v>0.95638015306690827</c:v>
                </c:pt>
                <c:pt idx="4">
                  <c:v>0.92427404330578189</c:v>
                </c:pt>
                <c:pt idx="5">
                  <c:v>0.88517013419368074</c:v>
                </c:pt>
                <c:pt idx="6">
                  <c:v>0.84045223533204383</c:v>
                </c:pt>
                <c:pt idx="7">
                  <c:v>0.79157879136912335</c:v>
                </c:pt>
                <c:pt idx="8">
                  <c:v>0.73999238550892388</c:v>
                </c:pt>
                <c:pt idx="9">
                  <c:v>0.68704420347295658</c:v>
                </c:pt>
                <c:pt idx="10">
                  <c:v>0.63393814526060888</c:v>
                </c:pt>
                <c:pt idx="11">
                  <c:v>0.58169591024874334</c:v>
                </c:pt>
                <c:pt idx="12">
                  <c:v>0.53114163049675089</c:v>
                </c:pt>
                <c:pt idx="13">
                  <c:v>0.48290279205742392</c:v>
                </c:pt>
                <c:pt idx="14">
                  <c:v>0.43742329915094313</c:v>
                </c:pt>
                <c:pt idx="15">
                  <c:v>0.39498444639115327</c:v>
                </c:pt>
                <c:pt idx="16">
                  <c:v>0.35573002435124129</c:v>
                </c:pt>
                <c:pt idx="17">
                  <c:v>0.3196925404812534</c:v>
                </c:pt>
                <c:pt idx="18">
                  <c:v>0.28681838204229415</c:v>
                </c:pt>
                <c:pt idx="19">
                  <c:v>0.25699053719599446</c:v>
                </c:pt>
                <c:pt idx="20">
                  <c:v>0.23004814583331168</c:v>
                </c:pt>
                <c:pt idx="21">
                  <c:v>0.20580264509735235</c:v>
                </c:pt>
                <c:pt idx="22">
                  <c:v>0.18405061152222429</c:v>
                </c:pt>
                <c:pt idx="23">
                  <c:v>0.16458360619713525</c:v>
                </c:pt>
                <c:pt idx="24">
                  <c:v>0.14719543200422941</c:v>
                </c:pt>
                <c:pt idx="25">
                  <c:v>0.13168724279835387</c:v>
                </c:pt>
                <c:pt idx="26">
                  <c:v>0.11787092901406571</c:v>
                </c:pt>
                <c:pt idx="27">
                  <c:v>0.105571162450436</c:v>
                </c:pt>
                <c:pt idx="28">
                  <c:v>9.4626429099543385E-2</c:v>
                </c:pt>
                <c:pt idx="29">
                  <c:v>8.4889322248037552E-2</c:v>
                </c:pt>
                <c:pt idx="30">
                  <c:v>7.6226314370815895E-2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DCB4-4CEA-BD79-06FFE4AEC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 sz="1400">
                    <a:solidFill>
                      <a:sysClr val="windowText" lastClr="000000"/>
                    </a:solidFill>
                  </a:rPr>
                  <a:t>Ma</a:t>
                </a:r>
                <a:endParaRPr lang="de-DE" sz="1400" i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86887993153639709"/>
              <c:y val="0.957369145817047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5"/>
      </c:valAx>
      <c:valAx>
        <c:axId val="1903764864"/>
        <c:scaling>
          <c:orientation val="minMax"/>
          <c:max val="3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888777207457472E-2"/>
          <c:y val="1.4263738880256678E-2"/>
          <c:w val="0.87597314922554481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xliv!$D$3</c:f>
              <c:strCache>
                <c:ptCount val="1"/>
                <c:pt idx="0">
                  <c:v>Ma = 1,1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xliv!$E$5:$E$50</c:f>
              <c:numCache>
                <c:formatCode>0.000</c:formatCode>
                <c:ptCount val="46"/>
                <c:pt idx="1">
                  <c:v>-85.101688038182758</c:v>
                </c:pt>
                <c:pt idx="2">
                  <c:v>-80.23717430584135</c:v>
                </c:pt>
                <c:pt idx="3">
                  <c:v>-75.438651640014541</c:v>
                </c:pt>
                <c:pt idx="4">
                  <c:v>-70.735299692824711</c:v>
                </c:pt>
                <c:pt idx="5">
                  <c:v>-66.152228652196911</c:v>
                </c:pt>
                <c:pt idx="6">
                  <c:v>-61.709855932085688</c:v>
                </c:pt>
                <c:pt idx="7">
                  <c:v>-57.423718756858122</c:v>
                </c:pt>
                <c:pt idx="8">
                  <c:v>-53.304661634735233</c:v>
                </c:pt>
                <c:pt idx="9">
                  <c:v>-49.359300034534002</c:v>
                </c:pt>
                <c:pt idx="10">
                  <c:v>-45.59065125220274</c:v>
                </c:pt>
                <c:pt idx="11">
                  <c:v>-41.998834052410231</c:v>
                </c:pt>
                <c:pt idx="12">
                  <c:v>-38.581760888814948</c:v>
                </c:pt>
                <c:pt idx="13">
                  <c:v>-35.335771926317527</c:v>
                </c:pt>
                <c:pt idx="14">
                  <c:v>-32.256183036525755</c:v>
                </c:pt>
                <c:pt idx="15">
                  <c:v>-29.337737671100086</c:v>
                </c:pt>
                <c:pt idx="16">
                  <c:v>-26.574964501495359</c:v>
                </c:pt>
                <c:pt idx="17">
                  <c:v>-23.962449679870666</c:v>
                </c:pt>
                <c:pt idx="18">
                  <c:v>-21.495035753402952</c:v>
                </c:pt>
                <c:pt idx="19">
                  <c:v>-19.167959895590769</c:v>
                </c:pt>
                <c:pt idx="20">
                  <c:v>-16.976943229313775</c:v>
                </c:pt>
                <c:pt idx="21">
                  <c:v>-14.918241353077269</c:v>
                </c:pt>
                <c:pt idx="22">
                  <c:v>-12.988664233711898</c:v>
                </c:pt>
                <c:pt idx="23">
                  <c:v>-11.185571687387972</c:v>
                </c:pt>
                <c:pt idx="24">
                  <c:v>-9.5068488909334139</c:v>
                </c:pt>
                <c:pt idx="25">
                  <c:v>-7.9508648169225271</c:v>
                </c:pt>
                <c:pt idx="26">
                  <c:v>-6.5164151925714275</c:v>
                </c:pt>
                <c:pt idx="27">
                  <c:v>-5.2026505489982986</c:v>
                </c:pt>
                <c:pt idx="28">
                  <c:v>-4.0089891578699204</c:v>
                </c:pt>
                <c:pt idx="29">
                  <c:v>-2.9350141611769911</c:v>
                </c:pt>
                <c:pt idx="30">
                  <c:v>-1.9803540174581074</c:v>
                </c:pt>
                <c:pt idx="31">
                  <c:v>-1.1445455622982663</c:v>
                </c:pt>
                <c:pt idx="32">
                  <c:v>-0.42687957381331959</c:v>
                </c:pt>
                <c:pt idx="33">
                  <c:v>0.17377019076957656</c:v>
                </c:pt>
                <c:pt idx="34">
                  <c:v>0.65913191547168859</c:v>
                </c:pt>
                <c:pt idx="35">
                  <c:v>1.0317298907919357</c:v>
                </c:pt>
                <c:pt idx="36">
                  <c:v>1.2950806135325017</c:v>
                </c:pt>
                <c:pt idx="37">
                  <c:v>1.4538806492571676</c:v>
                </c:pt>
                <c:pt idx="38">
                  <c:v>1.5141733037586422</c:v>
                </c:pt>
                <c:pt idx="39">
                  <c:v>1.4834789465779445</c:v>
                </c:pt>
                <c:pt idx="40">
                  <c:v>1.3708728194180217</c:v>
                </c:pt>
                <c:pt idx="41">
                  <c:v>1.1869949786296861</c:v>
                </c:pt>
                <c:pt idx="42">
                  <c:v>0.94398015796498091</c:v>
                </c:pt>
                <c:pt idx="43">
                  <c:v>0.655300958618388</c:v>
                </c:pt>
                <c:pt idx="44">
                  <c:v>0.33552554115332434</c:v>
                </c:pt>
                <c:pt idx="45">
                  <c:v>5.9344305580031988E-16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10-43EB-A20D-80A41E0F4C79}"/>
            </c:ext>
          </c:extLst>
        </c:ser>
        <c:ser>
          <c:idx val="1"/>
          <c:order val="1"/>
          <c:tx>
            <c:strRef>
              <c:f>xliv!$F$3</c:f>
              <c:strCache>
                <c:ptCount val="1"/>
                <c:pt idx="0">
                  <c:v>Ma = 1,2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xliv!$G$5:$G$50</c:f>
              <c:numCache>
                <c:formatCode>0.000</c:formatCode>
                <c:ptCount val="46"/>
                <c:pt idx="1">
                  <c:v>-84.552185229265092</c:v>
                </c:pt>
                <c:pt idx="2">
                  <c:v>-79.152861486819504</c:v>
                </c:pt>
                <c:pt idx="3">
                  <c:v>-73.847524975117466</c:v>
                </c:pt>
                <c:pt idx="4">
                  <c:v>-68.676149063463171</c:v>
                </c:pt>
                <c:pt idx="5">
                  <c:v>-63.671460123146439</c:v>
                </c:pt>
                <c:pt idx="6">
                  <c:v>-58.85814982410276</c:v>
                </c:pt>
                <c:pt idx="7">
                  <c:v>-54.252955340289382</c:v>
                </c:pt>
                <c:pt idx="8">
                  <c:v>-49.865401272412221</c:v>
                </c:pt>
                <c:pt idx="9">
                  <c:v>-45.69894413302336</c:v>
                </c:pt>
                <c:pt idx="10">
                  <c:v>-41.752278004449472</c:v>
                </c:pt>
                <c:pt idx="11">
                  <c:v>-38.020617905038762</c:v>
                </c:pt>
                <c:pt idx="12">
                  <c:v>-34.496846014128508</c:v>
                </c:pt>
                <c:pt idx="13">
                  <c:v>-31.172465964129483</c:v>
                </c:pt>
                <c:pt idx="14">
                  <c:v>-28.038353780121266</c:v>
                </c:pt>
                <c:pt idx="15">
                  <c:v>-25.085320393304613</c:v>
                </c:pt>
                <c:pt idx="16">
                  <c:v>-22.304513447444812</c:v>
                </c:pt>
                <c:pt idx="17">
                  <c:v>-19.687689761818461</c:v>
                </c:pt>
                <c:pt idx="18">
                  <c:v>-17.227388143477199</c:v>
                </c:pt>
                <c:pt idx="19">
                  <c:v>-14.917028020670063</c:v>
                </c:pt>
                <c:pt idx="20">
                  <c:v>-12.750954336204126</c:v>
                </c:pt>
                <c:pt idx="21">
                  <c:v>-10.724444249722783</c:v>
                </c:pt>
                <c:pt idx="22">
                  <c:v>-8.8336868880003703</c:v>
                </c:pt>
                <c:pt idx="23">
                  <c:v>-7.0757437827329248</c:v>
                </c:pt>
                <c:pt idx="24">
                  <c:v>-5.4484947170242357</c:v>
                </c:pt>
                <c:pt idx="25">
                  <c:v>-3.950571368848856</c:v>
                </c:pt>
                <c:pt idx="26">
                  <c:v>-2.581279282871749</c:v>
                </c:pt>
                <c:pt idx="27">
                  <c:v>-1.340507228066522</c:v>
                </c:pt>
                <c:pt idx="28">
                  <c:v>-0.22862184708977898</c:v>
                </c:pt>
                <c:pt idx="29">
                  <c:v>0.75365534410476964</c:v>
                </c:pt>
                <c:pt idx="30">
                  <c:v>1.6053920614433592</c:v>
                </c:pt>
                <c:pt idx="31">
                  <c:v>2.3256140150174343</c:v>
                </c:pt>
                <c:pt idx="32">
                  <c:v>2.9135014273660995</c:v>
                </c:pt>
                <c:pt idx="33">
                  <c:v>3.368615224000401</c:v>
                </c:pt>
                <c:pt idx="34">
                  <c:v>3.6911527006396656</c:v>
                </c:pt>
                <c:pt idx="35">
                  <c:v>3.8822292539608667</c:v>
                </c:pt>
                <c:pt idx="36">
                  <c:v>3.944178358298553</c:v>
                </c:pt>
                <c:pt idx="37">
                  <c:v>3.8808564960003369</c:v>
                </c:pt>
                <c:pt idx="38">
                  <c:v>3.6979336337571729</c:v>
                </c:pt>
                <c:pt idx="39">
                  <c:v>3.4031439215419756</c:v>
                </c:pt>
                <c:pt idx="40">
                  <c:v>3.0064668465587698</c:v>
                </c:pt>
                <c:pt idx="41">
                  <c:v>2.5202076787674095</c:v>
                </c:pt>
                <c:pt idx="42">
                  <c:v>1.9589492530610964</c:v>
                </c:pt>
                <c:pt idx="43">
                  <c:v>1.3393559674377227</c:v>
                </c:pt>
                <c:pt idx="44">
                  <c:v>0.6798252451810094</c:v>
                </c:pt>
                <c:pt idx="45">
                  <c:v>1.1989971943720741E-15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10-43EB-A20D-80A41E0F4C79}"/>
            </c:ext>
          </c:extLst>
        </c:ser>
        <c:ser>
          <c:idx val="2"/>
          <c:order val="2"/>
          <c:tx>
            <c:strRef>
              <c:f>xliv!$H$3</c:f>
              <c:strCache>
                <c:ptCount val="1"/>
                <c:pt idx="0">
                  <c:v>Ma = 1,3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xliv!$I$5:$I$50</c:f>
              <c:numCache>
                <c:formatCode>0.000</c:formatCode>
                <c:ptCount val="46"/>
                <c:pt idx="1">
                  <c:v>-83.955691924163887</c:v>
                </c:pt>
                <c:pt idx="2">
                  <c:v>-77.980393784064674</c:v>
                </c:pt>
                <c:pt idx="3">
                  <c:v>-72.13765599786332</c:v>
                </c:pt>
                <c:pt idx="4">
                  <c:v>-66.481176182970458</c:v>
                </c:pt>
                <c:pt idx="5">
                  <c:v>-61.052170277907685</c:v>
                </c:pt>
                <c:pt idx="6">
                  <c:v>-55.878662151143331</c:v>
                </c:pt>
                <c:pt idx="7">
                  <c:v>-50.976372544024315</c:v>
                </c:pt>
                <c:pt idx="8">
                  <c:v>-46.350638604880146</c:v>
                </c:pt>
                <c:pt idx="9">
                  <c:v>-41.998778414699764</c:v>
                </c:pt>
                <c:pt idx="10">
                  <c:v>-37.912446045686586</c:v>
                </c:pt>
                <c:pt idx="11">
                  <c:v>-34.079701032000834</c:v>
                </c:pt>
                <c:pt idx="12">
                  <c:v>-30.486673026919423</c:v>
                </c:pt>
                <c:pt idx="13">
                  <c:v>-27.118810204471746</c:v>
                </c:pt>
                <c:pt idx="14">
                  <c:v>-23.961759144994993</c:v>
                </c:pt>
                <c:pt idx="15">
                  <c:v>-21.00194721941827</c:v>
                </c:pt>
                <c:pt idx="16">
                  <c:v>-18.226940057419203</c:v>
                </c:pt>
                <c:pt idx="17">
                  <c:v>-15.625637588366295</c:v>
                </c:pt>
                <c:pt idx="18">
                  <c:v>-13.188359399164204</c:v>
                </c:pt>
                <c:pt idx="19">
                  <c:v>-10.906857531209583</c:v>
                </c:pt>
                <c:pt idx="20">
                  <c:v>-8.7742839814406164</c:v>
                </c:pt>
                <c:pt idx="21">
                  <c:v>-6.7851315185111396</c:v>
                </c:pt>
                <c:pt idx="22">
                  <c:v>-4.9351598288040792</c:v>
                </c:pt>
                <c:pt idx="23">
                  <c:v>-3.2213140982294086</c:v>
                </c:pt>
                <c:pt idx="24">
                  <c:v>-1.6416395051651438</c:v>
                </c:pt>
                <c:pt idx="25">
                  <c:v>-0.19519238152269844</c:v>
                </c:pt>
                <c:pt idx="26">
                  <c:v>1.1180533005525304</c:v>
                </c:pt>
                <c:pt idx="27">
                  <c:v>2.297307154475559</c:v>
                </c:pt>
                <c:pt idx="28">
                  <c:v>3.3410757859823503</c:v>
                </c:pt>
                <c:pt idx="29">
                  <c:v>4.2472940767561322</c:v>
                </c:pt>
                <c:pt idx="30">
                  <c:v>5.0134810469010773</c:v>
                </c:pt>
                <c:pt idx="31">
                  <c:v>5.6369276733548386</c:v>
                </c:pt>
                <c:pt idx="32">
                  <c:v>6.1149241710682141</c:v>
                </c:pt>
                <c:pt idx="33">
                  <c:v>6.4450334987368771</c:v>
                </c:pt>
                <c:pt idx="34">
                  <c:v>6.625415792041851</c:v>
                </c:pt>
                <c:pt idx="35">
                  <c:v>6.6552045463320679</c:v>
                </c:pt>
                <c:pt idx="36">
                  <c:v>6.5349291895301898</c:v>
                </c:pt>
                <c:pt idx="37">
                  <c:v>6.2669699405912498</c:v>
                </c:pt>
                <c:pt idx="38">
                  <c:v>5.8560197618996721</c:v>
                </c:pt>
                <c:pt idx="39">
                  <c:v>5.3095158211283549</c:v>
                </c:pt>
                <c:pt idx="40">
                  <c:v>4.6379912954221076</c:v>
                </c:pt>
                <c:pt idx="41">
                  <c:v>3.8552907905239406</c:v>
                </c:pt>
                <c:pt idx="42">
                  <c:v>2.978592949278382</c:v>
                </c:pt>
                <c:pt idx="43">
                  <c:v>2.0281953627787273</c:v>
                </c:pt>
                <c:pt idx="44">
                  <c:v>1.0270410138390633</c:v>
                </c:pt>
                <c:pt idx="45">
                  <c:v>1.8099823117650998E-15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10-43EB-A20D-80A41E0F4C79}"/>
            </c:ext>
          </c:extLst>
        </c:ser>
        <c:ser>
          <c:idx val="3"/>
          <c:order val="3"/>
          <c:tx>
            <c:strRef>
              <c:f>xliv!$J$3</c:f>
              <c:strCache>
                <c:ptCount val="1"/>
                <c:pt idx="0">
                  <c:v>Ma = 1,4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xliv!$K$5:$K$50</c:f>
              <c:numCache>
                <c:formatCode>0.000</c:formatCode>
                <c:ptCount val="46"/>
                <c:pt idx="1">
                  <c:v>-83.312549156172807</c:v>
                </c:pt>
                <c:pt idx="2">
                  <c:v>-76.722338398749173</c:v>
                </c:pt>
                <c:pt idx="3">
                  <c:v>-70.316892991053365</c:v>
                </c:pt>
                <c:pt idx="4">
                  <c:v>-64.166658305994773</c:v>
                </c:pt>
                <c:pt idx="5">
                  <c:v>-58.321340976204944</c:v>
                </c:pt>
                <c:pt idx="6">
                  <c:v>-52.809952424157203</c:v>
                </c:pt>
                <c:pt idx="7">
                  <c:v>-47.643542831834971</c:v>
                </c:pt>
                <c:pt idx="8">
                  <c:v>-42.819276688003335</c:v>
                </c:pt>
                <c:pt idx="9">
                  <c:v>-38.324706087837598</c:v>
                </c:pt>
                <c:pt idx="10">
                  <c:v>-34.141531548670777</c:v>
                </c:pt>
                <c:pt idx="11">
                  <c:v>-30.2485506353568</c:v>
                </c:pt>
                <c:pt idx="12">
                  <c:v>-26.623772623940702</c:v>
                </c:pt>
                <c:pt idx="13">
                  <c:v>-23.245819016559022</c:v>
                </c:pt>
                <c:pt idx="14">
                  <c:v>-20.09477522659456</c:v>
                </c:pt>
                <c:pt idx="15">
                  <c:v>-17.152651654027579</c:v>
                </c:pt>
                <c:pt idx="16">
                  <c:v>-14.403583707368531</c:v>
                </c:pt>
                <c:pt idx="17">
                  <c:v>-11.833867613738974</c:v>
                </c:pt>
                <c:pt idx="18">
                  <c:v>-9.4318999935130794</c:v>
                </c:pt>
                <c:pt idx="19">
                  <c:v>-7.1880665820824392</c:v>
                </c:pt>
                <c:pt idx="20">
                  <c:v>-5.0946089863336157</c:v>
                </c:pt>
                <c:pt idx="21">
                  <c:v>-3.1454868426461666</c:v>
                </c:pt>
                <c:pt idx="22">
                  <c:v>-1.3362449153029001</c:v>
                </c:pt>
                <c:pt idx="23">
                  <c:v>0.33611058096557672</c:v>
                </c:pt>
                <c:pt idx="24">
                  <c:v>1.873225708207843</c:v>
                </c:pt>
                <c:pt idx="25">
                  <c:v>3.2755043606356513</c:v>
                </c:pt>
                <c:pt idx="26">
                  <c:v>4.5422093355962785</c:v>
                </c:pt>
                <c:pt idx="27">
                  <c:v>5.6715642361784662</c:v>
                </c:pt>
                <c:pt idx="28">
                  <c:v>6.6608630738272314</c:v>
                </c:pt>
                <c:pt idx="29">
                  <c:v>7.5065960242733061</c:v>
                </c:pt>
                <c:pt idx="30">
                  <c:v>8.2046014191469574</c:v>
                </c:pt>
                <c:pt idx="31">
                  <c:v>8.7502556228968214</c:v>
                </c:pt>
                <c:pt idx="32">
                  <c:v>9.1387136897229091</c:v>
                </c:pt>
                <c:pt idx="33">
                  <c:v>9.3652141551417536</c:v>
                </c:pt>
                <c:pt idx="34">
                  <c:v>9.4254602807794008</c:v>
                </c:pt>
                <c:pt idx="35">
                  <c:v>9.3160865688685561</c:v>
                </c:pt>
                <c:pt idx="36">
                  <c:v>9.0352122388587723</c:v>
                </c:pt>
                <c:pt idx="37">
                  <c:v>8.5830715031788021</c:v>
                </c:pt>
                <c:pt idx="38">
                  <c:v>7.9626932948717233</c:v>
                </c:pt>
                <c:pt idx="39">
                  <c:v>7.1805812213498932</c:v>
                </c:pt>
                <c:pt idx="40">
                  <c:v>6.2473206667040229</c:v>
                </c:pt>
                <c:pt idx="41">
                  <c:v>5.1780195628422652</c:v>
                </c:pt>
                <c:pt idx="42">
                  <c:v>3.9924802688728276</c:v>
                </c:pt>
                <c:pt idx="43">
                  <c:v>2.7150107649581723</c:v>
                </c:pt>
                <c:pt idx="44">
                  <c:v>1.3738196637440094</c:v>
                </c:pt>
                <c:pt idx="45">
                  <c:v>2.4205460601116465E-15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D10-43EB-A20D-80A41E0F4C79}"/>
            </c:ext>
          </c:extLst>
        </c:ser>
        <c:ser>
          <c:idx val="4"/>
          <c:order val="4"/>
          <c:tx>
            <c:strRef>
              <c:f>xliv!$L$3</c:f>
              <c:strCache>
                <c:ptCount val="1"/>
                <c:pt idx="0">
                  <c:v>Ma = 1,5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xliv!$M$5:$M$50</c:f>
              <c:numCache>
                <c:formatCode>0.000</c:formatCode>
                <c:ptCount val="46"/>
                <c:pt idx="1">
                  <c:v>-82.623180612987284</c:v>
                </c:pt>
                <c:pt idx="2">
                  <c:v>-75.381829260624158</c:v>
                </c:pt>
                <c:pt idx="3">
                  <c:v>-68.394553651378743</c:v>
                </c:pt>
                <c:pt idx="4">
                  <c:v>-61.751229545125597</c:v>
                </c:pt>
                <c:pt idx="5">
                  <c:v>-55.508560949348826</c:v>
                </c:pt>
                <c:pt idx="6">
                  <c:v>-49.69233322710771</c:v>
                </c:pt>
                <c:pt idx="7">
                  <c:v>-44.303714404623342</c:v>
                </c:pt>
                <c:pt idx="8">
                  <c:v>-39.326803249741346</c:v>
                </c:pt>
                <c:pt idx="9">
                  <c:v>-34.735509484490564</c:v>
                </c:pt>
                <c:pt idx="10">
                  <c:v>-30.498903982937748</c:v>
                </c:pt>
                <c:pt idx="11">
                  <c:v>-26.584924317678862</c:v>
                </c:pt>
                <c:pt idx="12">
                  <c:v>-22.962692789222739</c:v>
                </c:pt>
                <c:pt idx="13">
                  <c:v>-19.603810862451521</c:v>
                </c:pt>
                <c:pt idx="14">
                  <c:v>-16.482965448379638</c:v>
                </c:pt>
                <c:pt idx="15">
                  <c:v>-13.578106965265098</c:v>
                </c:pt>
                <c:pt idx="16">
                  <c:v>-10.870381460096139</c:v>
                </c:pt>
                <c:pt idx="17">
                  <c:v>-8.3439360885111871</c:v>
                </c:pt>
                <c:pt idx="18">
                  <c:v>-5.9856717458121205</c:v>
                </c:pt>
                <c:pt idx="19">
                  <c:v>-3.7849859865728552</c:v>
                </c:pt>
                <c:pt idx="20">
                  <c:v>-1.7335296882288886</c:v>
                </c:pt>
                <c:pt idx="21">
                  <c:v>0.17501127604110828</c:v>
                </c:pt>
                <c:pt idx="22">
                  <c:v>1.9451054360011877</c:v>
                </c:pt>
                <c:pt idx="23">
                  <c:v>3.5795366350006277</c:v>
                </c:pt>
                <c:pt idx="24">
                  <c:v>5.0795395125734784</c:v>
                </c:pt>
                <c:pt idx="25">
                  <c:v>6.4449143184808761</c:v>
                </c:pt>
                <c:pt idx="26">
                  <c:v>7.6741271349546745</c:v>
                </c:pt>
                <c:pt idx="27">
                  <c:v>8.7644028761731523</c:v>
                </c:pt>
                <c:pt idx="28">
                  <c:v>9.711819940577417</c:v>
                </c:pt>
                <c:pt idx="29">
                  <c:v>10.511417264313531</c:v>
                </c:pt>
                <c:pt idx="30">
                  <c:v>11.15732682794104</c:v>
                </c:pt>
                <c:pt idx="31">
                  <c:v>11.642947352255208</c:v>
                </c:pt>
                <c:pt idx="32">
                  <c:v>11.961177751344763</c:v>
                </c:pt>
                <c:pt idx="33">
                  <c:v>12.104731381133385</c:v>
                </c:pt>
                <c:pt idx="34">
                  <c:v>12.066553311121167</c:v>
                </c:pt>
                <c:pt idx="35">
                  <c:v>11.840361302402135</c:v>
                </c:pt>
                <c:pt idx="36">
                  <c:v>11.421324855799805</c:v>
                </c:pt>
                <c:pt idx="37">
                  <c:v>10.80688313398532</c:v>
                </c:pt>
                <c:pt idx="38">
                  <c:v>9.997679447540655</c:v>
                </c:pt>
                <c:pt idx="39">
                  <c:v>8.9985563691375283</c:v>
                </c:pt>
                <c:pt idx="40">
                  <c:v>7.8195136534823444</c:v>
                </c:pt>
                <c:pt idx="41">
                  <c:v>6.4764884960495124</c:v>
                </c:pt>
                <c:pt idx="42">
                  <c:v>4.9917879936637872</c:v>
                </c:pt>
                <c:pt idx="43">
                  <c:v>3.3940049414170459</c:v>
                </c:pt>
                <c:pt idx="44">
                  <c:v>1.7172960610159833</c:v>
                </c:pt>
                <c:pt idx="45">
                  <c:v>3.0256825751395592E-15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D10-43EB-A20D-80A41E0F4C79}"/>
            </c:ext>
          </c:extLst>
        </c:ser>
        <c:ser>
          <c:idx val="5"/>
          <c:order val="5"/>
          <c:tx>
            <c:strRef>
              <c:f>xliv!$N$3</c:f>
              <c:strCache>
                <c:ptCount val="1"/>
                <c:pt idx="0">
                  <c:v>Ma = 1,6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xliv!$O$5:$O$50</c:f>
              <c:numCache>
                <c:formatCode>0.000</c:formatCode>
                <c:ptCount val="46"/>
                <c:pt idx="1">
                  <c:v>-81.888104118784881</c:v>
                </c:pt>
                <c:pt idx="2">
                  <c:v>-73.962615089482853</c:v>
                </c:pt>
                <c:pt idx="3">
                  <c:v>-66.381413028429236</c:v>
                </c:pt>
                <c:pt idx="4">
                  <c:v>-59.255518405194465</c:v>
                </c:pt>
                <c:pt idx="5">
                  <c:v>-52.644959280191131</c:v>
                </c:pt>
                <c:pt idx="6">
                  <c:v>-46.565902716083905</c:v>
                </c:pt>
                <c:pt idx="7">
                  <c:v>-41.003032155091788</c:v>
                </c:pt>
                <c:pt idx="8">
                  <c:v>-35.922049548566761</c:v>
                </c:pt>
                <c:pt idx="9">
                  <c:v>-31.279629754328784</c:v>
                </c:pt>
                <c:pt idx="10">
                  <c:v>-27.030204229016185</c:v>
                </c:pt>
                <c:pt idx="11">
                  <c:v>-23.130023092753415</c:v>
                </c:pt>
                <c:pt idx="12">
                  <c:v>-19.539261956513869</c:v>
                </c:pt>
                <c:pt idx="13">
                  <c:v>-16.222878408527325</c:v>
                </c:pt>
                <c:pt idx="14">
                  <c:v>-13.150742111569157</c:v>
                </c:pt>
                <c:pt idx="15">
                  <c:v>-10.297384909544471</c:v>
                </c:pt>
                <c:pt idx="16">
                  <c:v>-7.6415822458648286</c:v>
                </c:pt>
                <c:pt idx="17">
                  <c:v>-5.1658862798752789</c:v>
                </c:pt>
                <c:pt idx="18">
                  <c:v>-2.8561743435062952</c:v>
                </c:pt>
                <c:pt idx="19">
                  <c:v>-0.70124285966229927</c:v>
                </c:pt>
                <c:pt idx="20">
                  <c:v>1.3075420262631845</c:v>
                </c:pt>
                <c:pt idx="21">
                  <c:v>3.1765359436488692</c:v>
                </c:pt>
                <c:pt idx="22">
                  <c:v>4.9100538315873834</c:v>
                </c:pt>
                <c:pt idx="23">
                  <c:v>6.5105597599862914</c:v>
                </c:pt>
                <c:pt idx="24">
                  <c:v>7.9788162761348236</c:v>
                </c:pt>
                <c:pt idx="25">
                  <c:v>9.3140009827086647</c:v>
                </c:pt>
                <c:pt idx="26">
                  <c:v>10.513798501287724</c:v>
                </c:pt>
                <c:pt idx="27">
                  <c:v>11.574476735739823</c:v>
                </c:pt>
                <c:pt idx="28">
                  <c:v>12.490957661406059</c:v>
                </c:pt>
                <c:pt idx="29">
                  <c:v>13.256894916765331</c:v>
                </c:pt>
                <c:pt idx="30">
                  <c:v>13.864773405128686</c:v>
                </c:pt>
                <c:pt idx="31">
                  <c:v>14.306049984872201</c:v>
                </c:pt>
                <c:pt idx="32">
                  <c:v>14.571359033173474</c:v>
                </c:pt>
                <c:pt idx="33">
                  <c:v>14.650811791958564</c:v>
                </c:pt>
                <c:pt idx="34">
                  <c:v>14.534422985880186</c:v>
                </c:pt>
                <c:pt idx="35">
                  <c:v>14.212700440584941</c:v>
                </c:pt>
                <c:pt idx="36">
                  <c:v>13.677430385135056</c:v>
                </c:pt>
                <c:pt idx="37">
                  <c:v>12.922678601796028</c:v>
                </c:pt>
                <c:pt idx="38">
                  <c:v>11.946000586121617</c:v>
                </c:pt>
                <c:pt idx="39">
                  <c:v>10.749808130282821</c:v>
                </c:pt>
                <c:pt idx="40">
                  <c:v>9.3427748406696445</c:v>
                </c:pt>
                <c:pt idx="41">
                  <c:v>7.7410870572286195</c:v>
                </c:pt>
                <c:pt idx="42">
                  <c:v>5.9692800099704746</c:v>
                </c:pt>
                <c:pt idx="43">
                  <c:v>4.060374582771642</c:v>
                </c:pt>
                <c:pt idx="44">
                  <c:v>2.0550830196160579</c:v>
                </c:pt>
                <c:pt idx="45">
                  <c:v>3.6212137486590931E-15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D10-43EB-A20D-80A41E0F4C79}"/>
            </c:ext>
          </c:extLst>
        </c:ser>
        <c:ser>
          <c:idx val="6"/>
          <c:order val="6"/>
          <c:tx>
            <c:strRef>
              <c:f>xliv!$P$3</c:f>
              <c:strCache>
                <c:ptCount val="1"/>
                <c:pt idx="0">
                  <c:v>Ma = 1,7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xliv!$Q$5:$Q$50</c:f>
              <c:numCache>
                <c:formatCode>0.000</c:formatCode>
                <c:ptCount val="46"/>
                <c:pt idx="1">
                  <c:v>-81.107943285754459</c:v>
                </c:pt>
                <c:pt idx="2">
                  <c:v>-72.469094590844037</c:v>
                </c:pt>
                <c:pt idx="3">
                  <c:v>-64.28961398105281</c:v>
                </c:pt>
                <c:pt idx="4">
                  <c:v>-56.701606462830263</c:v>
                </c:pt>
                <c:pt idx="5">
                  <c:v>-49.761937052109673</c:v>
                </c:pt>
                <c:pt idx="6">
                  <c:v>-43.46856038299893</c:v>
                </c:pt>
                <c:pt idx="7">
                  <c:v>-37.782166923637206</c:v>
                </c:pt>
                <c:pt idx="8">
                  <c:v>-32.644936168480577</c:v>
                </c:pt>
                <c:pt idx="9">
                  <c:v>-27.993523223160995</c:v>
                </c:pt>
                <c:pt idx="10">
                  <c:v>-23.766674214239227</c:v>
                </c:pt>
                <c:pt idx="11">
                  <c:v>-19.908984945400846</c:v>
                </c:pt>
                <c:pt idx="12">
                  <c:v>-16.372282115911528</c:v>
                </c:pt>
                <c:pt idx="13">
                  <c:v>-13.115704582838665</c:v>
                </c:pt>
                <c:pt idx="14">
                  <c:v>-10.105162237917336</c:v>
                </c:pt>
                <c:pt idx="15">
                  <c:v>-7.3125588287678536</c:v>
                </c:pt>
                <c:pt idx="16">
                  <c:v>-4.7149809755590031</c:v>
                </c:pt>
                <c:pt idx="17">
                  <c:v>-2.2939488704177271</c:v>
                </c:pt>
                <c:pt idx="18">
                  <c:v>-3.476614813455061E-2</c:v>
                </c:pt>
                <c:pt idx="19">
                  <c:v>2.0740231073108251</c:v>
                </c:pt>
                <c:pt idx="20">
                  <c:v>4.0410760342115353</c:v>
                </c:pt>
                <c:pt idx="21">
                  <c:v>5.8726026476943431</c:v>
                </c:pt>
                <c:pt idx="22">
                  <c:v>7.5726401728766604</c:v>
                </c:pt>
                <c:pt idx="23">
                  <c:v>9.1432623223615419</c:v>
                </c:pt>
                <c:pt idx="24">
                  <c:v>10.584734753908426</c:v>
                </c:pt>
                <c:pt idx="25">
                  <c:v>11.895626968319977</c:v>
                </c:pt>
                <c:pt idx="26">
                  <c:v>13.072890356669818</c:v>
                </c:pt>
                <c:pt idx="27">
                  <c:v>14.111912225955278</c:v>
                </c:pt>
                <c:pt idx="28">
                  <c:v>15.006556631904202</c:v>
                </c:pt>
                <c:pt idx="29">
                  <c:v>15.749204942423187</c:v>
                </c:pt>
                <c:pt idx="30">
                  <c:v>16.330812476654053</c:v>
                </c:pt>
                <c:pt idx="31">
                  <c:v>16.74100253098943</c:v>
                </c:pt>
                <c:pt idx="32">
                  <c:v>16.968225731430159</c:v>
                </c:pt>
                <c:pt idx="33">
                  <c:v>17.000020776248057</c:v>
                </c:pt>
                <c:pt idx="34">
                  <c:v>16.823421489296766</c:v>
                </c:pt>
                <c:pt idx="35">
                  <c:v>16.425562834659278</c:v>
                </c:pt>
                <c:pt idx="36">
                  <c:v>15.794541546103645</c:v>
                </c:pt>
                <c:pt idx="37">
                  <c:v>14.920579326134893</c:v>
                </c:pt>
                <c:pt idx="38">
                  <c:v>13.797509721376144</c:v>
                </c:pt>
                <c:pt idx="39">
                  <c:v>12.424554272750379</c:v>
                </c:pt>
                <c:pt idx="40">
                  <c:v>10.808263077306126</c:v>
                </c:pt>
                <c:pt idx="41">
                  <c:v>8.9643744153827019</c:v>
                </c:pt>
                <c:pt idx="42">
                  <c:v>6.9192237769347757</c:v>
                </c:pt>
                <c:pt idx="43">
                  <c:v>4.7102571512720495</c:v>
                </c:pt>
                <c:pt idx="44">
                  <c:v>2.3852449721720532</c:v>
                </c:pt>
                <c:pt idx="45">
                  <c:v>4.2037430150418051E-15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D10-43EB-A20D-80A41E0F4C79}"/>
            </c:ext>
          </c:extLst>
        </c:ser>
        <c:ser>
          <c:idx val="7"/>
          <c:order val="7"/>
          <c:tx>
            <c:strRef>
              <c:f>xliv!$R$3</c:f>
              <c:strCache>
                <c:ptCount val="1"/>
                <c:pt idx="0">
                  <c:v>Ma = 1,8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xliv!$S$5:$S$50</c:f>
              <c:numCache>
                <c:formatCode>0.000</c:formatCode>
                <c:ptCount val="46"/>
                <c:pt idx="1">
                  <c:v>-80.283439102500239</c:v>
                </c:pt>
                <c:pt idx="2">
                  <c:v>-70.906334834208266</c:v>
                </c:pt>
                <c:pt idx="3">
                  <c:v>-62.132494948339158</c:v>
                </c:pt>
                <c:pt idx="4">
                  <c:v>-54.112343023782849</c:v>
                </c:pt>
                <c:pt idx="5">
                  <c:v>-46.88983954401585</c:v>
                </c:pt>
                <c:pt idx="6">
                  <c:v>-40.434274694370728</c:v>
                </c:pt>
                <c:pt idx="7">
                  <c:v>-34.674669311366323</c:v>
                </c:pt>
                <c:pt idx="8">
                  <c:v>-29.525423685432035</c:v>
                </c:pt>
                <c:pt idx="9">
                  <c:v>-24.901570794987069</c:v>
                </c:pt>
                <c:pt idx="10">
                  <c:v>-20.7261859096464</c:v>
                </c:pt>
                <c:pt idx="11">
                  <c:v>-16.93302250487088</c:v>
                </c:pt>
                <c:pt idx="12">
                  <c:v>-13.466652506953302</c:v>
                </c:pt>
                <c:pt idx="13">
                  <c:v>-10.281495559227034</c:v>
                </c:pt>
                <c:pt idx="14">
                  <c:v>-7.3404810600790995</c:v>
                </c:pt>
                <c:pt idx="15">
                  <c:v>-4.6137019796116352</c:v>
                </c:pt>
                <c:pt idx="16">
                  <c:v>-2.0772111926633001</c:v>
                </c:pt>
                <c:pt idx="17">
                  <c:v>0.28799301549774053</c:v>
                </c:pt>
                <c:pt idx="18">
                  <c:v>2.4967932798470045</c:v>
                </c:pt>
                <c:pt idx="19">
                  <c:v>4.5606112945213351</c:v>
                </c:pt>
                <c:pt idx="20">
                  <c:v>6.4879229558024827</c:v>
                </c:pt>
                <c:pt idx="21">
                  <c:v>8.2846548867306975</c:v>
                </c:pt>
                <c:pt idx="22">
                  <c:v>9.954483659896967</c:v>
                </c:pt>
                <c:pt idx="23">
                  <c:v>11.49905552747634</c:v>
                </c:pt>
                <c:pt idx="24">
                  <c:v>12.918141321941373</c:v>
                </c:pt>
                <c:pt idx="25">
                  <c:v>14.20973875744073</c:v>
                </c:pt>
                <c:pt idx="26">
                  <c:v>15.370132806396432</c:v>
                </c:pt>
                <c:pt idx="27">
                  <c:v>16.393924272181561</c:v>
                </c:pt>
                <c:pt idx="28">
                  <c:v>17.274037284661144</c:v>
                </c:pt>
                <c:pt idx="29">
                  <c:v>18.001718444477497</c:v>
                </c:pt>
                <c:pt idx="30">
                  <c:v>18.566544060330354</c:v>
                </c:pt>
                <c:pt idx="31">
                  <c:v>18.956457764943362</c:v>
                </c:pt>
                <c:pt idx="32">
                  <c:v>19.157869168924751</c:v>
                </c:pt>
                <c:pt idx="33">
                  <c:v>19.155855350338811</c:v>
                </c:pt>
                <c:pt idx="34">
                  <c:v>18.934520567101412</c:v>
                </c:pt>
                <c:pt idx="35">
                  <c:v>18.477584090204466</c:v>
                </c:pt>
                <c:pt idx="36">
                  <c:v>17.769277697913399</c:v>
                </c:pt>
                <c:pt idx="37">
                  <c:v>16.795635741456245</c:v>
                </c:pt>
                <c:pt idx="38">
                  <c:v>15.546239639670416</c:v>
                </c:pt>
                <c:pt idx="39">
                  <c:v>14.016418761681265</c:v>
                </c:pt>
                <c:pt idx="40">
                  <c:v>12.209794876884571</c:v>
                </c:pt>
                <c:pt idx="41">
                  <c:v>10.140883829204423</c:v>
                </c:pt>
                <c:pt idx="42">
                  <c:v>7.83726311056013</c:v>
                </c:pt>
                <c:pt idx="43">
                  <c:v>5.3406531494289773</c:v>
                </c:pt>
                <c:pt idx="44">
                  <c:v>2.7062607238194851</c:v>
                </c:pt>
                <c:pt idx="45">
                  <c:v>4.7705907786666459E-15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D10-43EB-A20D-80A41E0F4C79}"/>
            </c:ext>
          </c:extLst>
        </c:ser>
        <c:ser>
          <c:idx val="8"/>
          <c:order val="8"/>
          <c:tx>
            <c:strRef>
              <c:f>xliv!$T$3</c:f>
              <c:strCache>
                <c:ptCount val="1"/>
                <c:pt idx="0">
                  <c:v>Ma = 1,9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xliv!$U$5:$U$50</c:f>
              <c:numCache>
                <c:formatCode>0.000</c:formatCode>
                <c:ptCount val="46"/>
                <c:pt idx="1">
                  <c:v>-79.415461191308026</c:v>
                </c:pt>
                <c:pt idx="2">
                  <c:v>-69.280069197363346</c:v>
                </c:pt>
                <c:pt idx="3">
                  <c:v>-59.924337493677122</c:v>
                </c:pt>
                <c:pt idx="4">
                  <c:v>-51.510573395495449</c:v>
                </c:pt>
                <c:pt idx="5">
                  <c:v>-44.056723674876096</c:v>
                </c:pt>
                <c:pt idx="6">
                  <c:v>-37.491810336787054</c:v>
                </c:pt>
                <c:pt idx="7">
                  <c:v>-31.706182592340699</c:v>
                </c:pt>
                <c:pt idx="8">
                  <c:v>-26.583597377508358</c:v>
                </c:pt>
                <c:pt idx="9">
                  <c:v>-22.017192310998443</c:v>
                </c:pt>
                <c:pt idx="10">
                  <c:v>-17.915348872484252</c:v>
                </c:pt>
                <c:pt idx="11">
                  <c:v>-14.202371002259801</c:v>
                </c:pt>
                <c:pt idx="12">
                  <c:v>-10.816960190928466</c:v>
                </c:pt>
                <c:pt idx="13">
                  <c:v>-7.7100183707699816</c:v>
                </c:pt>
                <c:pt idx="14">
                  <c:v>-4.8424677337986139</c:v>
                </c:pt>
                <c:pt idx="15">
                  <c:v>-2.183347600831683</c:v>
                </c:pt>
                <c:pt idx="16">
                  <c:v>0.29174951184248993</c:v>
                </c:pt>
                <c:pt idx="17">
                  <c:v>2.6019220081333687</c:v>
                </c:pt>
                <c:pt idx="18">
                  <c:v>4.761929956387279</c:v>
                </c:pt>
                <c:pt idx="19">
                  <c:v>6.782942444036923</c:v>
                </c:pt>
                <c:pt idx="20">
                  <c:v>8.673106102860265</c:v>
                </c:pt>
                <c:pt idx="21">
                  <c:v>10.437971476874884</c:v>
                </c:pt>
                <c:pt idx="22">
                  <c:v>12.080806223792015</c:v>
                </c:pt>
                <c:pt idx="23">
                  <c:v>13.602817619419611</c:v>
                </c:pt>
                <c:pt idx="24">
                  <c:v>15.003301702140751</c:v>
                </c:pt>
                <c:pt idx="25">
                  <c:v>16.279732623436594</c:v>
                </c:pt>
                <c:pt idx="26">
                  <c:v>17.427803288406238</c:v>
                </c:pt>
                <c:pt idx="27">
                  <c:v>18.441427162564281</c:v>
                </c:pt>
                <c:pt idx="28">
                  <c:v>19.3127112836885</c:v>
                </c:pt>
                <c:pt idx="29">
                  <c:v>20.031912291928666</c:v>
                </c:pt>
                <c:pt idx="30">
                  <c:v>20.587391091594025</c:v>
                </c:pt>
                <c:pt idx="31">
                  <c:v>20.965588178847344</c:v>
                </c:pt>
                <c:pt idx="32">
                  <c:v>21.151051449441123</c:v>
                </c:pt>
                <c:pt idx="33">
                  <c:v>21.126562175063523</c:v>
                </c:pt>
                <c:pt idx="34">
                  <c:v>20.873423166902295</c:v>
                </c:pt>
                <c:pt idx="35">
                  <c:v>20.371995139671021</c:v>
                </c:pt>
                <c:pt idx="36">
                  <c:v>19.602589593666799</c:v>
                </c:pt>
                <c:pt idx="37">
                  <c:v>18.546841042830884</c:v>
                </c:pt>
                <c:pt idx="38">
                  <c:v>17.189672660851421</c:v>
                </c:pt>
                <c:pt idx="39">
                  <c:v>15.521913096730719</c:v>
                </c:pt>
                <c:pt idx="40">
                  <c:v>13.543488778628248</c:v>
                </c:pt>
                <c:pt idx="41">
                  <c:v>11.266885448494815</c:v>
                </c:pt>
                <c:pt idx="42">
                  <c:v>8.7202647850115476</c:v>
                </c:pt>
                <c:pt idx="43">
                  <c:v>5.94933381481954</c:v>
                </c:pt>
                <c:pt idx="44">
                  <c:v>3.016979855470419</c:v>
                </c:pt>
                <c:pt idx="45">
                  <c:v>5.3197192592871826E-15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D10-43EB-A20D-80A41E0F4C79}"/>
            </c:ext>
          </c:extLst>
        </c:ser>
        <c:ser>
          <c:idx val="9"/>
          <c:order val="9"/>
          <c:tx>
            <c:strRef>
              <c:f>xliv!$V$3</c:f>
              <c:strCache>
                <c:ptCount val="1"/>
                <c:pt idx="0">
                  <c:v>Ma = 2,0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xliv!$W$5:$W$50</c:f>
              <c:numCache>
                <c:formatCode>0.000</c:formatCode>
                <c:ptCount val="46"/>
                <c:pt idx="1">
                  <c:v>-78.50501843284745</c:v>
                </c:pt>
                <c:pt idx="2">
                  <c:v>-67.596671981704233</c:v>
                </c:pt>
                <c:pt idx="3">
                  <c:v>-57.680044675118069</c:v>
                </c:pt>
                <c:pt idx="4">
                  <c:v>-48.918352894811093</c:v>
                </c:pt>
                <c:pt idx="5">
                  <c:v>-41.287355386995564</c:v>
                </c:pt>
                <c:pt idx="6">
                  <c:v>-34.664019777261103</c:v>
                </c:pt>
                <c:pt idx="7">
                  <c:v>-28.894465762232912</c:v>
                </c:pt>
                <c:pt idx="8">
                  <c:v>-23.830613406121451</c:v>
                </c:pt>
                <c:pt idx="9">
                  <c:v>-19.344680162406078</c:v>
                </c:pt>
                <c:pt idx="10">
                  <c:v>-15.332063788526664</c:v>
                </c:pt>
                <c:pt idx="11">
                  <c:v>-11.709351435249943</c:v>
                </c:pt>
                <c:pt idx="12">
                  <c:v>-8.4108549296032731</c:v>
                </c:pt>
                <c:pt idx="13">
                  <c:v>-5.3851266698646247</c:v>
                </c:pt>
                <c:pt idx="14">
                  <c:v>-2.5919636771181489</c:v>
                </c:pt>
                <c:pt idx="15">
                  <c:v>-4.5907352537882144E-15</c:v>
                </c:pt>
                <c:pt idx="16">
                  <c:v>2.4151645221749249</c:v>
                </c:pt>
                <c:pt idx="17">
                  <c:v>4.6723933049052251</c:v>
                </c:pt>
                <c:pt idx="18">
                  <c:v>6.7860933655729427</c:v>
                </c:pt>
                <c:pt idx="19">
                  <c:v>8.7670259455793378</c:v>
                </c:pt>
                <c:pt idx="20">
                  <c:v>10.62290962494955</c:v>
                </c:pt>
                <c:pt idx="21">
                  <c:v>12.358863247182168</c:v>
                </c:pt>
                <c:pt idx="22">
                  <c:v>13.977723960027395</c:v>
                </c:pt>
                <c:pt idx="23">
                  <c:v>15.480266454847184</c:v>
                </c:pt>
                <c:pt idx="24">
                  <c:v>16.865342631164783</c:v>
                </c:pt>
                <c:pt idx="25">
                  <c:v>18.129955997645883</c:v>
                </c:pt>
                <c:pt idx="26">
                  <c:v>19.26928183437359</c:v>
                </c:pt>
                <c:pt idx="27">
                  <c:v>20.276642330975832</c:v>
                </c:pt>
                <c:pt idx="28">
                  <c:v>21.143445611008779</c:v>
                </c:pt>
                <c:pt idx="29">
                  <c:v>21.859098995149868</c:v>
                </c:pt>
                <c:pt idx="30">
                  <c:v>22.410910531025056</c:v>
                </c:pt>
                <c:pt idx="31">
                  <c:v>22.783999498369479</c:v>
                </c:pt>
                <c:pt idx="32">
                  <c:v>22.961247356333608</c:v>
                </c:pt>
                <c:pt idx="33">
                  <c:v>22.923336726499851</c:v>
                </c:pt>
                <c:pt idx="34">
                  <c:v>22.648948700487153</c:v>
                </c:pt>
                <c:pt idx="35">
                  <c:v>22.115218336813626</c:v>
                </c:pt>
                <c:pt idx="36">
                  <c:v>21.298582416985262</c:v>
                </c:pt>
                <c:pt idx="37">
                  <c:v>20.176184551535464</c:v>
                </c:pt>
                <c:pt idx="38">
                  <c:v>18.728012780470372</c:v>
                </c:pt>
                <c:pt idx="39">
                  <c:v>16.939901746124786</c:v>
                </c:pt>
                <c:pt idx="40">
                  <c:v>14.80738931855926</c:v>
                </c:pt>
                <c:pt idx="41">
                  <c:v>12.340131913667369</c:v>
                </c:pt>
                <c:pt idx="42">
                  <c:v>9.5661536240551097</c:v>
                </c:pt>
                <c:pt idx="43">
                  <c:v>6.5347424567475212</c:v>
                </c:pt>
                <c:pt idx="44">
                  <c:v>3.3165764570865539</c:v>
                </c:pt>
                <c:pt idx="45">
                  <c:v>5.8496529786031476E-15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D10-43EB-A20D-80A41E0F4C79}"/>
            </c:ext>
          </c:extLst>
        </c:ser>
        <c:ser>
          <c:idx val="10"/>
          <c:order val="10"/>
          <c:tx>
            <c:strRef>
              <c:f>xliv!$X$3</c:f>
              <c:strCache>
                <c:ptCount val="1"/>
                <c:pt idx="0">
                  <c:v>Ma = 2,1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xliv!$Y$5:$Y$50</c:f>
              <c:numCache>
                <c:formatCode>0.000</c:formatCode>
                <c:ptCount val="46"/>
                <c:pt idx="1">
                  <c:v>-77.553268627817701</c:v>
                </c:pt>
                <c:pt idx="2">
                  <c:v>-65.863107922912519</c:v>
                </c:pt>
                <c:pt idx="3">
                  <c:v>-55.414769478413582</c:v>
                </c:pt>
                <c:pt idx="4">
                  <c:v>-46.356221099646781</c:v>
                </c:pt>
                <c:pt idx="5">
                  <c:v>-38.602525804210707</c:v>
                </c:pt>
                <c:pt idx="6">
                  <c:v>-31.967693571517668</c:v>
                </c:pt>
                <c:pt idx="7">
                  <c:v>-26.250047558802045</c:v>
                </c:pt>
                <c:pt idx="8">
                  <c:v>-21.270156131027175</c:v>
                </c:pt>
                <c:pt idx="9">
                  <c:v>-16.881294328743351</c:v>
                </c:pt>
                <c:pt idx="10">
                  <c:v>-12.968037910653264</c:v>
                </c:pt>
                <c:pt idx="11">
                  <c:v>-9.4411064656415409</c:v>
                </c:pt>
                <c:pt idx="12">
                  <c:v>-6.2318507140543415</c:v>
                </c:pt>
                <c:pt idx="13">
                  <c:v>-3.2875214755284188</c:v>
                </c:pt>
                <c:pt idx="14">
                  <c:v>-0.5675372343722721</c:v>
                </c:pt>
                <c:pt idx="15">
                  <c:v>1.959351114933924</c:v>
                </c:pt>
                <c:pt idx="16">
                  <c:v>4.3171766944179071</c:v>
                </c:pt>
                <c:pt idx="17">
                  <c:v>6.5243241400097158</c:v>
                </c:pt>
                <c:pt idx="18">
                  <c:v>8.5946861418461236</c:v>
                </c:pt>
                <c:pt idx="19">
                  <c:v>10.538513886815483</c:v>
                </c:pt>
                <c:pt idx="20">
                  <c:v>12.363038602573472</c:v>
                </c:pt>
                <c:pt idx="21">
                  <c:v>14.072920119640793</c:v>
                </c:pt>
                <c:pt idx="22">
                  <c:v>15.670562591630963</c:v>
                </c:pt>
                <c:pt idx="23">
                  <c:v>17.156326030350627</c:v>
                </c:pt>
                <c:pt idx="24">
                  <c:v>18.528654052515233</c:v>
                </c:pt>
                <c:pt idx="25">
                  <c:v>19.784132394340137</c:v>
                </c:pt>
                <c:pt idx="26">
                  <c:v>20.917488796820592</c:v>
                </c:pt>
                <c:pt idx="27">
                  <c:v>21.921542518154403</c:v>
                </c:pt>
                <c:pt idx="28">
                  <c:v>22.787110956069728</c:v>
                </c:pt>
                <c:pt idx="29">
                  <c:v>23.502881891142721</c:v>
                </c:pt>
                <c:pt idx="30">
                  <c:v>24.055263233040435</c:v>
                </c:pt>
                <c:pt idx="31">
                  <c:v>24.428228788728251</c:v>
                </c:pt>
                <c:pt idx="32">
                  <c:v>24.603189856362444</c:v>
                </c:pt>
                <c:pt idx="33">
                  <c:v>24.558940233529874</c:v>
                </c:pt>
                <c:pt idx="34">
                  <c:v>24.271748642165299</c:v>
                </c:pt>
                <c:pt idx="35">
                  <c:v>23.715709306280225</c:v>
                </c:pt>
                <c:pt idx="36">
                  <c:v>22.86350794156013</c:v>
                </c:pt>
                <c:pt idx="37">
                  <c:v>21.687810302596478</c:v>
                </c:pt>
                <c:pt idx="38">
                  <c:v>20.163515085698499</c:v>
                </c:pt>
                <c:pt idx="39">
                  <c:v>18.271093462618047</c:v>
                </c:pt>
                <c:pt idx="40">
                  <c:v>16.001099769642071</c:v>
                </c:pt>
                <c:pt idx="41">
                  <c:v>13.359605600750772</c:v>
                </c:pt>
                <c:pt idx="42">
                  <c:v>10.373747459396849</c:v>
                </c:pt>
                <c:pt idx="43">
                  <c:v>7.0958957368622553</c:v>
                </c:pt>
                <c:pt idx="44">
                  <c:v>3.6045029769974879</c:v>
                </c:pt>
                <c:pt idx="45">
                  <c:v>6.3593995718501818E-15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D10-43EB-A20D-80A41E0F4C79}"/>
            </c:ext>
          </c:extLst>
        </c:ser>
        <c:ser>
          <c:idx val="11"/>
          <c:order val="11"/>
          <c:tx>
            <c:strRef>
              <c:f>xliv!$Z$3</c:f>
              <c:strCache>
                <c:ptCount val="1"/>
                <c:pt idx="0">
                  <c:v>Ma = 2,2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xliv!$AA$5:$AA$50</c:f>
              <c:numCache>
                <c:formatCode>0.000</c:formatCode>
                <c:ptCount val="46"/>
                <c:pt idx="1">
                  <c:v>-76.561526842956852</c:v>
                </c:pt>
                <c:pt idx="2">
                  <c:v>-64.08685629449667</c:v>
                </c:pt>
                <c:pt idx="3">
                  <c:v>-53.143518845690551</c:v>
                </c:pt>
                <c:pt idx="4">
                  <c:v>-43.842600519536752</c:v>
                </c:pt>
                <c:pt idx="5">
                  <c:v>-36.018717323038636</c:v>
                </c:pt>
                <c:pt idx="6">
                  <c:v>-29.413877310814019</c:v>
                </c:pt>
                <c:pt idx="7">
                  <c:v>-23.777277108958774</c:v>
                </c:pt>
                <c:pt idx="8">
                  <c:v>-18.900082563377172</c:v>
                </c:pt>
                <c:pt idx="9">
                  <c:v>-14.619281558030204</c:v>
                </c:pt>
                <c:pt idx="10">
                  <c:v>-10.810974497468676</c:v>
                </c:pt>
                <c:pt idx="11">
                  <c:v>-7.3818066702575544</c:v>
                </c:pt>
                <c:pt idx="12">
                  <c:v>-4.2614494073392706</c:v>
                </c:pt>
                <c:pt idx="13">
                  <c:v>-1.3967366464840649</c:v>
                </c:pt>
                <c:pt idx="14">
                  <c:v>1.2526933154420714</c:v>
                </c:pt>
                <c:pt idx="15">
                  <c:v>3.7175739176335063</c:v>
                </c:pt>
                <c:pt idx="16">
                  <c:v>6.0213092895232245</c:v>
                </c:pt>
                <c:pt idx="17">
                  <c:v>8.1816367408709443</c:v>
                </c:pt>
                <c:pt idx="18">
                  <c:v>10.211829985248064</c:v>
                </c:pt>
                <c:pt idx="19">
                  <c:v>12.121569632515236</c:v>
                </c:pt>
                <c:pt idx="20">
                  <c:v>13.917570085526112</c:v>
                </c:pt>
                <c:pt idx="21">
                  <c:v>15.604025256068478</c:v>
                </c:pt>
                <c:pt idx="22">
                  <c:v>17.182916663207923</c:v>
                </c:pt>
                <c:pt idx="23">
                  <c:v>18.654214212187114</c:v>
                </c:pt>
                <c:pt idx="24">
                  <c:v>20.015990611796237</c:v>
                </c:pt>
                <c:pt idx="25">
                  <c:v>21.264463836250076</c:v>
                </c:pt>
                <c:pt idx="26">
                  <c:v>22.393977551059386</c:v>
                </c:pt>
                <c:pt idx="27">
                  <c:v>23.396926610747169</c:v>
                </c:pt>
                <c:pt idx="28">
                  <c:v>24.263633504748189</c:v>
                </c:pt>
                <c:pt idx="29">
                  <c:v>24.982182186925307</c:v>
                </c:pt>
                <c:pt idx="30">
                  <c:v>25.538218647292798</c:v>
                </c:pt>
                <c:pt idx="31">
                  <c:v>25.914733913321498</c:v>
                </c:pt>
                <c:pt idx="32">
                  <c:v>26.091856551956369</c:v>
                </c:pt>
                <c:pt idx="33">
                  <c:v>26.046700562960858</c:v>
                </c:pt>
                <c:pt idx="34">
                  <c:v>25.753343886401101</c:v>
                </c:pt>
                <c:pt idx="35">
                  <c:v>25.183055833563522</c:v>
                </c:pt>
                <c:pt idx="36">
                  <c:v>24.304950277865402</c:v>
                </c:pt>
                <c:pt idx="37">
                  <c:v>23.087311438653668</c:v>
                </c:pt>
                <c:pt idx="38">
                  <c:v>21.499902910218278</c:v>
                </c:pt>
                <c:pt idx="39">
                  <c:v>19.517584479572104</c:v>
                </c:pt>
                <c:pt idx="40">
                  <c:v>17.125443213094556</c:v>
                </c:pt>
                <c:pt idx="41">
                  <c:v>14.325280727966785</c:v>
                </c:pt>
                <c:pt idx="42">
                  <c:v>11.142600076585175</c:v>
                </c:pt>
                <c:pt idx="43">
                  <c:v>7.6322893861291661</c:v>
                </c:pt>
                <c:pt idx="44">
                  <c:v>3.8804461558682508</c:v>
                </c:pt>
                <c:pt idx="45">
                  <c:v>6.8483742188524674E-15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D10-43EB-A20D-80A41E0F4C79}"/>
            </c:ext>
          </c:extLst>
        </c:ser>
        <c:ser>
          <c:idx val="12"/>
          <c:order val="12"/>
          <c:tx>
            <c:strRef>
              <c:f>xliv!$AB$3</c:f>
              <c:strCache>
                <c:ptCount val="1"/>
                <c:pt idx="0">
                  <c:v>Ma = 2,3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xliv!$AC$5:$AC$50</c:f>
              <c:numCache>
                <c:formatCode>0.000</c:formatCode>
                <c:ptCount val="46"/>
                <c:pt idx="1">
                  <c:v>-75.531272076546415</c:v>
                </c:pt>
                <c:pt idx="2">
                  <c:v>-62.275811022218711</c:v>
                </c:pt>
                <c:pt idx="3">
                  <c:v>-50.880762008533729</c:v>
                </c:pt>
                <c:pt idx="4">
                  <c:v>-41.393363556869552</c:v>
                </c:pt>
                <c:pt idx="5">
                  <c:v>-33.548096853225999</c:v>
                </c:pt>
                <c:pt idx="6">
                  <c:v>-27.008516291105057</c:v>
                </c:pt>
                <c:pt idx="7">
                  <c:v>-21.475546885553182</c:v>
                </c:pt>
                <c:pt idx="8">
                  <c:v>-16.71401365009681</c:v>
                </c:pt>
                <c:pt idx="9">
                  <c:v>-12.547622734119642</c:v>
                </c:pt>
                <c:pt idx="10">
                  <c:v>-8.8463177137994062</c:v>
                </c:pt>
                <c:pt idx="11">
                  <c:v>-5.5142945917082198</c:v>
                </c:pt>
                <c:pt idx="12">
                  <c:v>-2.4806333036854857</c:v>
                </c:pt>
                <c:pt idx="13">
                  <c:v>0.30753829808395206</c:v>
                </c:pt>
                <c:pt idx="14">
                  <c:v>2.8899050847984884</c:v>
                </c:pt>
                <c:pt idx="15">
                  <c:v>5.2963952853290079</c:v>
                </c:pt>
                <c:pt idx="16">
                  <c:v>7.5496042006696653</c:v>
                </c:pt>
                <c:pt idx="17">
                  <c:v>9.6665138060076394</c:v>
                </c:pt>
                <c:pt idx="18">
                  <c:v>11.659718076615567</c:v>
                </c:pt>
                <c:pt idx="19">
                  <c:v>13.538297702034502</c:v>
                </c:pt>
                <c:pt idx="20">
                  <c:v>15.308442254497171</c:v>
                </c:pt>
                <c:pt idx="21">
                  <c:v>16.973886781426817</c:v>
                </c:pt>
                <c:pt idx="22">
                  <c:v>18.536208567360262</c:v>
                </c:pt>
                <c:pt idx="23">
                  <c:v>19.995015221651983</c:v>
                </c:pt>
                <c:pt idx="24">
                  <c:v>21.348045124615965</c:v>
                </c:pt>
                <c:pt idx="25">
                  <c:v>22.591194193119492</c:v>
                </c:pt>
                <c:pt idx="26">
                  <c:v>23.718478027829622</c:v>
                </c:pt>
                <c:pt idx="27">
                  <c:v>24.721935295800368</c:v>
                </c:pt>
                <c:pt idx="28">
                  <c:v>25.591476534230097</c:v>
                </c:pt>
                <c:pt idx="29">
                  <c:v>26.314682619004255</c:v>
                </c:pt>
                <c:pt idx="30">
                  <c:v>26.876559511505505</c:v>
                </c:pt>
                <c:pt idx="31">
                  <c:v>27.259261703097515</c:v>
                </c:pt>
                <c:pt idx="32">
                  <c:v>27.441807884666186</c:v>
                </c:pt>
                <c:pt idx="33">
                  <c:v>27.399831627984256</c:v>
                </c:pt>
                <c:pt idx="34">
                  <c:v>27.105441265203776</c:v>
                </c:pt>
                <c:pt idx="35">
                  <c:v>26.527311552178901</c:v>
                </c:pt>
                <c:pt idx="36">
                  <c:v>25.631199352376928</c:v>
                </c:pt>
                <c:pt idx="37">
                  <c:v>24.381165887280556</c:v>
                </c:pt>
                <c:pt idx="38">
                  <c:v>22.741884201774031</c:v>
                </c:pt>
                <c:pt idx="39">
                  <c:v>20.682466450389406</c:v>
                </c:pt>
                <c:pt idx="40">
                  <c:v>18.182163121512964</c:v>
                </c:pt>
                <c:pt idx="41">
                  <c:v>15.237908511397025</c:v>
                </c:pt>
                <c:pt idx="42">
                  <c:v>11.872857377171382</c:v>
                </c:pt>
                <c:pt idx="43">
                  <c:v>8.1438112788029784</c:v>
                </c:pt>
                <c:pt idx="44">
                  <c:v>4.1442863193881987</c:v>
                </c:pt>
                <c:pt idx="45">
                  <c:v>7.3163298187193888E-15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D10-43EB-A20D-80A41E0F4C79}"/>
            </c:ext>
          </c:extLst>
        </c:ser>
        <c:ser>
          <c:idx val="13"/>
          <c:order val="13"/>
          <c:tx>
            <c:strRef>
              <c:f>xliv!$AD$3</c:f>
              <c:strCache>
                <c:ptCount val="1"/>
                <c:pt idx="0">
                  <c:v>Ma = 2,4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xliv!$AE$5:$AE$50</c:f>
              <c:numCache>
                <c:formatCode>0.000</c:formatCode>
                <c:ptCount val="46"/>
                <c:pt idx="1">
                  <c:v>-74.464151878875654</c:v>
                </c:pt>
                <c:pt idx="2">
                  <c:v>-60.438160031667302</c:v>
                </c:pt>
                <c:pt idx="3">
                  <c:v>-48.640071239903072</c:v>
                </c:pt>
                <c:pt idx="4">
                  <c:v>-39.021586460119742</c:v>
                </c:pt>
                <c:pt idx="5">
                  <c:v>-31.198774673243374</c:v>
                </c:pt>
                <c:pt idx="6">
                  <c:v>-24.753281405445055</c:v>
                </c:pt>
                <c:pt idx="7">
                  <c:v>-19.340512813150855</c:v>
                </c:pt>
                <c:pt idx="8">
                  <c:v>-14.702728675280571</c:v>
                </c:pt>
                <c:pt idx="9">
                  <c:v>-10.653430250122451</c:v>
                </c:pt>
                <c:pt idx="10">
                  <c:v>-7.058548452675983</c:v>
                </c:pt>
                <c:pt idx="11">
                  <c:v>-3.8212281497822422</c:v>
                </c:pt>
                <c:pt idx="12">
                  <c:v>-0.87084043548713053</c:v>
                </c:pt>
                <c:pt idx="13">
                  <c:v>1.8446463966274051</c:v>
                </c:pt>
                <c:pt idx="14">
                  <c:v>4.363907407214036</c:v>
                </c:pt>
                <c:pt idx="15">
                  <c:v>6.7158669789983625</c:v>
                </c:pt>
                <c:pt idx="16">
                  <c:v>8.9221972118731578</c:v>
                </c:pt>
                <c:pt idx="17">
                  <c:v>10.99906326484988</c:v>
                </c:pt>
                <c:pt idx="18">
                  <c:v>12.958351217055212</c:v>
                </c:pt>
                <c:pt idx="19">
                  <c:v>14.80853486222458</c:v>
                </c:pt>
                <c:pt idx="20">
                  <c:v>16.55528570720805</c:v>
                </c:pt>
                <c:pt idx="21">
                  <c:v>18.201896016367684</c:v>
                </c:pt>
                <c:pt idx="22">
                  <c:v>19.749561797194421</c:v>
                </c:pt>
                <c:pt idx="23">
                  <c:v>21.197557115464718</c:v>
                </c:pt>
                <c:pt idx="24">
                  <c:v>22.54332047663949</c:v>
                </c:pt>
                <c:pt idx="25">
                  <c:v>23.782466581531047</c:v>
                </c:pt>
                <c:pt idx="26">
                  <c:v>24.908731556897276</c:v>
                </c:pt>
                <c:pt idx="27">
                  <c:v>25.913856218821728</c:v>
                </c:pt>
                <c:pt idx="28">
                  <c:v>26.787409849924867</c:v>
                </c:pt>
                <c:pt idx="29">
                  <c:v>27.516556515012212</c:v>
                </c:pt>
                <c:pt idx="30">
                  <c:v>28.085767685357013</c:v>
                </c:pt>
                <c:pt idx="31">
                  <c:v>28.476490061823224</c:v>
                </c:pt>
                <c:pt idx="32">
                  <c:v>28.666788009861168</c:v>
                </c:pt>
                <c:pt idx="33">
                  <c:v>28.63099918879286</c:v>
                </c:pt>
                <c:pt idx="34">
                  <c:v>28.33947459706534</c:v>
                </c:pt>
                <c:pt idx="35">
                  <c:v>27.758526823203692</c:v>
                </c:pt>
                <c:pt idx="36">
                  <c:v>26.850789801434978</c:v>
                </c:pt>
                <c:pt idx="37">
                  <c:v>25.576303329258877</c:v>
                </c:pt>
                <c:pt idx="38">
                  <c:v>23.894765642866481</c:v>
                </c:pt>
                <c:pt idx="39">
                  <c:v>21.769502307871072</c:v>
                </c:pt>
                <c:pt idx="40">
                  <c:v>19.173668077756396</c:v>
                </c:pt>
                <c:pt idx="41">
                  <c:v>16.098829483124636</c:v>
                </c:pt>
                <c:pt idx="42">
                  <c:v>12.5651296195461</c:v>
                </c:pt>
                <c:pt idx="43">
                  <c:v>8.6306635092292279</c:v>
                </c:pt>
                <c:pt idx="44">
                  <c:v>4.3960607480550555</c:v>
                </c:pt>
                <c:pt idx="45">
                  <c:v>7.7632941017149584E-15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D10-43EB-A20D-80A41E0F4C79}"/>
            </c:ext>
          </c:extLst>
        </c:ser>
        <c:ser>
          <c:idx val="14"/>
          <c:order val="14"/>
          <c:tx>
            <c:strRef>
              <c:f>xliv!$AF$3</c:f>
              <c:strCache>
                <c:ptCount val="1"/>
                <c:pt idx="0">
                  <c:v>Ma = 3,0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xliv!$AG$5:$AG$50</c:f>
              <c:numCache>
                <c:formatCode>0.000</c:formatCode>
                <c:ptCount val="46"/>
                <c:pt idx="1">
                  <c:v>-67.400720475530377</c:v>
                </c:pt>
                <c:pt idx="2">
                  <c:v>-49.31354285416429</c:v>
                </c:pt>
                <c:pt idx="3">
                  <c:v>-36.246008714799707</c:v>
                </c:pt>
                <c:pt idx="4">
                  <c:v>-26.809616247277258</c:v>
                </c:pt>
                <c:pt idx="5">
                  <c:v>-19.719154519011997</c:v>
                </c:pt>
                <c:pt idx="6">
                  <c:v>-14.138163746976272</c:v>
                </c:pt>
                <c:pt idx="7">
                  <c:v>-9.5576445264077474</c:v>
                </c:pt>
                <c:pt idx="8">
                  <c:v>-5.6654572856380145</c:v>
                </c:pt>
                <c:pt idx="9">
                  <c:v>-2.2646067618488663</c:v>
                </c:pt>
                <c:pt idx="10">
                  <c:v>0.7733374306890366</c:v>
                </c:pt>
                <c:pt idx="11">
                  <c:v>3.534688416729086</c:v>
                </c:pt>
                <c:pt idx="12">
                  <c:v>6.0789987453637284</c:v>
                </c:pt>
                <c:pt idx="13">
                  <c:v>8.4482465041519621</c:v>
                </c:pt>
                <c:pt idx="14">
                  <c:v>10.672499438762152</c:v>
                </c:pt>
                <c:pt idx="15">
                  <c:v>12.773507079243728</c:v>
                </c:pt>
                <c:pt idx="16">
                  <c:v>14.767035649319535</c:v>
                </c:pt>
                <c:pt idx="17">
                  <c:v>16.664416671372972</c:v>
                </c:pt>
                <c:pt idx="18">
                  <c:v>18.473588942880223</c:v>
                </c:pt>
                <c:pt idx="19">
                  <c:v>20.199804109746729</c:v>
                </c:pt>
                <c:pt idx="20">
                  <c:v>21.846101578953139</c:v>
                </c:pt>
                <c:pt idx="21">
                  <c:v>23.413619392463008</c:v>
                </c:pt>
                <c:pt idx="22">
                  <c:v>24.901783208343105</c:v>
                </c:pt>
                <c:pt idx="23">
                  <c:v>26.308399683177818</c:v>
                </c:pt>
                <c:pt idx="24">
                  <c:v>27.62966984857313</c:v>
                </c:pt>
                <c:pt idx="25">
                  <c:v>28.860130468528837</c:v>
                </c:pt>
                <c:pt idx="26">
                  <c:v>29.992525615580348</c:v>
                </c:pt>
                <c:pt idx="27">
                  <c:v>31.01760607409221</c:v>
                </c:pt>
                <c:pt idx="28">
                  <c:v>31.92385028170478</c:v>
                </c:pt>
                <c:pt idx="29">
                  <c:v>32.697097286987635</c:v>
                </c:pt>
                <c:pt idx="30">
                  <c:v>33.320079969325953</c:v>
                </c:pt>
                <c:pt idx="31">
                  <c:v>33.771846515158458</c:v>
                </c:pt>
                <c:pt idx="32">
                  <c:v>34.02706197423943</c:v>
                </c:pt>
                <c:pt idx="33">
                  <c:v>34.055193724124422</c:v>
                </c:pt>
                <c:pt idx="34">
                  <c:v>33.819612408113336</c:v>
                </c:pt>
                <c:pt idx="35">
                  <c:v>33.276696666973699</c:v>
                </c:pt>
                <c:pt idx="36">
                  <c:v>32.37513763810361</c:v>
                </c:pt>
                <c:pt idx="37">
                  <c:v>31.055829996393204</c:v>
                </c:pt>
                <c:pt idx="38">
                  <c:v>29.253047480514802</c:v>
                </c:pt>
                <c:pt idx="39">
                  <c:v>26.898045827027026</c:v>
                </c:pt>
                <c:pt idx="40">
                  <c:v>23.926719962840963</c:v>
                </c:pt>
                <c:pt idx="41">
                  <c:v>20.293086433695706</c:v>
                </c:pt>
                <c:pt idx="42">
                  <c:v>15.989294432214422</c:v>
                </c:pt>
                <c:pt idx="43">
                  <c:v>11.069382228850216</c:v>
                </c:pt>
                <c:pt idx="44">
                  <c:v>5.6679508948909509</c:v>
                </c:pt>
                <c:pt idx="45">
                  <c:v>1.0027976534748254E-14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D10-43EB-A20D-80A41E0F4C79}"/>
            </c:ext>
          </c:extLst>
        </c:ser>
        <c:ser>
          <c:idx val="15"/>
          <c:order val="15"/>
          <c:tx>
            <c:strRef>
              <c:f>xliv!$AH$3</c:f>
              <c:strCache>
                <c:ptCount val="1"/>
                <c:pt idx="0">
                  <c:v>Ma = 4,0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xliv!$AI$5:$AI$50</c:f>
              <c:numCache>
                <c:formatCode>0.000</c:formatCode>
                <c:ptCount val="46"/>
                <c:pt idx="1">
                  <c:v>-54.294243622560117</c:v>
                </c:pt>
                <c:pt idx="2">
                  <c:v>-33.239295700766455</c:v>
                </c:pt>
                <c:pt idx="3">
                  <c:v>-21.408155601849877</c:v>
                </c:pt>
                <c:pt idx="4">
                  <c:v>-13.867342373612024</c:v>
                </c:pt>
                <c:pt idx="5">
                  <c:v>-8.4667827387914141</c:v>
                </c:pt>
                <c:pt idx="6">
                  <c:v>-4.2529650102369878</c:v>
                </c:pt>
                <c:pt idx="7">
                  <c:v>-0.75842875009769539</c:v>
                </c:pt>
                <c:pt idx="8">
                  <c:v>2.268204181949427</c:v>
                </c:pt>
                <c:pt idx="9">
                  <c:v>4.9725866802288277</c:v>
                </c:pt>
                <c:pt idx="10">
                  <c:v>7.4442202942514388</c:v>
                </c:pt>
                <c:pt idx="11">
                  <c:v>9.740686128627452</c:v>
                </c:pt>
                <c:pt idx="12">
                  <c:v>11.900359748921224</c:v>
                </c:pt>
                <c:pt idx="13">
                  <c:v>13.949488226492578</c:v>
                </c:pt>
                <c:pt idx="14">
                  <c:v>15.906326083247601</c:v>
                </c:pt>
                <c:pt idx="15">
                  <c:v>17.783651160272733</c:v>
                </c:pt>
                <c:pt idx="16">
                  <c:v>19.590344778521498</c:v>
                </c:pt>
                <c:pt idx="17">
                  <c:v>21.332408040576237</c:v>
                </c:pt>
                <c:pt idx="18">
                  <c:v>23.013624595987885</c:v>
                </c:pt>
                <c:pt idx="19">
                  <c:v>24.635992789670198</c:v>
                </c:pt>
                <c:pt idx="20">
                  <c:v>26.200000785167244</c:v>
                </c:pt>
                <c:pt idx="21">
                  <c:v>27.704789252244233</c:v>
                </c:pt>
                <c:pt idx="22">
                  <c:v>29.148228394515968</c:v>
                </c:pt>
                <c:pt idx="23">
                  <c:v>30.526924562361035</c:v>
                </c:pt>
                <c:pt idx="24">
                  <c:v>31.836163699043933</c:v>
                </c:pt>
                <c:pt idx="25">
                  <c:v>33.06979278350267</c:v>
                </c:pt>
                <c:pt idx="26">
                  <c:v>34.220035245836051</c:v>
                </c:pt>
                <c:pt idx="27">
                  <c:v>35.277231354299566</c:v>
                </c:pt>
                <c:pt idx="28">
                  <c:v>36.229489308186707</c:v>
                </c:pt>
                <c:pt idx="29">
                  <c:v>37.062226862999694</c:v>
                </c:pt>
                <c:pt idx="30">
                  <c:v>37.75757659142036</c:v>
                </c:pt>
                <c:pt idx="31">
                  <c:v>38.29362054570295</c:v>
                </c:pt>
                <c:pt idx="32">
                  <c:v>38.643413162111443</c:v>
                </c:pt>
                <c:pt idx="33">
                  <c:v>38.773747589832773</c:v>
                </c:pt>
                <c:pt idx="34">
                  <c:v>38.643626992091072</c:v>
                </c:pt>
                <c:pt idx="35">
                  <c:v>38.202433565832955</c:v>
                </c:pt>
                <c:pt idx="36">
                  <c:v>37.387874774338336</c:v>
                </c:pt>
                <c:pt idx="37">
                  <c:v>36.12398866515958</c:v>
                </c:pt>
                <c:pt idx="38">
                  <c:v>34.319915929805639</c:v>
                </c:pt>
                <c:pt idx="39">
                  <c:v>31.870959203168354</c:v>
                </c:pt>
                <c:pt idx="40">
                  <c:v>28.664803985351135</c:v>
                </c:pt>
                <c:pt idx="41">
                  <c:v>24.597496441145584</c:v>
                </c:pt>
                <c:pt idx="42">
                  <c:v>19.604489236052679</c:v>
                </c:pt>
                <c:pt idx="43">
                  <c:v>13.707954849090314</c:v>
                </c:pt>
                <c:pt idx="44">
                  <c:v>7.0674524836895971</c:v>
                </c:pt>
                <c:pt idx="45">
                  <c:v>1.2534970668435317E-14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D10-43EB-A20D-80A41E0F4C79}"/>
            </c:ext>
          </c:extLst>
        </c:ser>
        <c:ser>
          <c:idx val="16"/>
          <c:order val="16"/>
          <c:tx>
            <c:strRef>
              <c:f>xliv!$AJ$3</c:f>
              <c:strCache>
                <c:ptCount val="1"/>
                <c:pt idx="0">
                  <c:v>Ma = 5,0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xliv!$AK$5:$AK$50</c:f>
              <c:numCache>
                <c:formatCode>0.000</c:formatCode>
                <c:ptCount val="46"/>
                <c:pt idx="1">
                  <c:v>-41.876324208219195</c:v>
                </c:pt>
                <c:pt idx="2">
                  <c:v>-22.135997204647353</c:v>
                </c:pt>
                <c:pt idx="3">
                  <c:v>-12.683805660066643</c:v>
                </c:pt>
                <c:pt idx="4">
                  <c:v>-6.8575992958286358</c:v>
                </c:pt>
                <c:pt idx="5">
                  <c:v>-2.6426464548832755</c:v>
                </c:pt>
                <c:pt idx="6">
                  <c:v>0.72685635637554979</c:v>
                </c:pt>
                <c:pt idx="7">
                  <c:v>3.5986722802029893</c:v>
                </c:pt>
                <c:pt idx="8">
                  <c:v>6.1518134314651336</c:v>
                </c:pt>
                <c:pt idx="9">
                  <c:v>8.4871378814573664</c:v>
                </c:pt>
                <c:pt idx="10">
                  <c:v>10.665388381092498</c:v>
                </c:pt>
                <c:pt idx="11">
                  <c:v>12.72500774260846</c:v>
                </c:pt>
                <c:pt idx="12">
                  <c:v>14.691220207656798</c:v>
                </c:pt>
                <c:pt idx="13">
                  <c:v>16.580981429856305</c:v>
                </c:pt>
                <c:pt idx="14">
                  <c:v>18.40582495670219</c:v>
                </c:pt>
                <c:pt idx="15">
                  <c:v>20.173570184167716</c:v>
                </c:pt>
                <c:pt idx="16">
                  <c:v>21.889380939370991</c:v>
                </c:pt>
                <c:pt idx="17">
                  <c:v>23.556435951805963</c:v>
                </c:pt>
                <c:pt idx="18">
                  <c:v>25.176356845098525</c:v>
                </c:pt>
                <c:pt idx="19">
                  <c:v>26.749477565308538</c:v>
                </c:pt>
                <c:pt idx="20">
                  <c:v>28.275004645701493</c:v>
                </c:pt>
                <c:pt idx="21">
                  <c:v>29.751097479357135</c:v>
                </c:pt>
                <c:pt idx="22">
                  <c:v>31.174885272092933</c:v>
                </c:pt>
                <c:pt idx="23">
                  <c:v>32.542429083367615</c:v>
                </c:pt>
                <c:pt idx="24">
                  <c:v>33.848631365949601</c:v>
                </c:pt>
                <c:pt idx="25">
                  <c:v>35.087090500245878</c:v>
                </c:pt>
                <c:pt idx="26">
                  <c:v>36.249893195949056</c:v>
                </c:pt>
                <c:pt idx="27">
                  <c:v>37.327332699847993</c:v>
                </c:pt>
                <c:pt idx="28">
                  <c:v>38.307534974798152</c:v>
                </c:pt>
                <c:pt idx="29">
                  <c:v>39.175967887656014</c:v>
                </c:pt>
                <c:pt idx="30">
                  <c:v>39.914799470761288</c:v>
                </c:pt>
                <c:pt idx="31">
                  <c:v>40.50206014106049</c:v>
                </c:pt>
                <c:pt idx="32">
                  <c:v>40.910550483785215</c:v>
                </c:pt>
                <c:pt idx="33">
                  <c:v>41.106422271217944</c:v>
                </c:pt>
                <c:pt idx="34">
                  <c:v>41.047350553685689</c:v>
                </c:pt>
                <c:pt idx="35">
                  <c:v>40.680221487919169</c:v>
                </c:pt>
                <c:pt idx="36">
                  <c:v>39.938314019289294</c:v>
                </c:pt>
                <c:pt idx="37">
                  <c:v>38.738120442622552</c:v>
                </c:pt>
                <c:pt idx="38">
                  <c:v>36.976370272454552</c:v>
                </c:pt>
                <c:pt idx="39">
                  <c:v>34.528753801438647</c:v>
                </c:pt>
                <c:pt idx="40">
                  <c:v>31.253674988682487</c:v>
                </c:pt>
                <c:pt idx="41">
                  <c:v>27.007340822056744</c:v>
                </c:pt>
                <c:pt idx="42">
                  <c:v>21.679499169988304</c:v>
                </c:pt>
                <c:pt idx="43">
                  <c:v>15.25682855442059</c:v>
                </c:pt>
                <c:pt idx="44">
                  <c:v>7.9022479069599054</c:v>
                </c:pt>
                <c:pt idx="45">
                  <c:v>1.4039167148647556E-14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D10-43EB-A20D-80A41E0F4C79}"/>
            </c:ext>
          </c:extLst>
        </c:ser>
        <c:ser>
          <c:idx val="17"/>
          <c:order val="17"/>
          <c:tx>
            <c:strRef>
              <c:f>xliv!$AL$3</c:f>
              <c:strCache>
                <c:ptCount val="1"/>
                <c:pt idx="0">
                  <c:v>Ma = 10,0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xliv!$AM$5:$AM$50</c:f>
              <c:numCache>
                <c:formatCode>0.000</c:formatCode>
                <c:ptCount val="46"/>
                <c:pt idx="1">
                  <c:v>-11.752602119856128</c:v>
                </c:pt>
                <c:pt idx="2">
                  <c:v>-3.486309017948066</c:v>
                </c:pt>
                <c:pt idx="3">
                  <c:v>0.42106901847520128</c:v>
                </c:pt>
                <c:pt idx="4">
                  <c:v>3.2047195764508332</c:v>
                </c:pt>
                <c:pt idx="5">
                  <c:v>5.5332450743137347</c:v>
                </c:pt>
                <c:pt idx="6">
                  <c:v>7.6309387320950712</c:v>
                </c:pt>
                <c:pt idx="7">
                  <c:v>9.5937478004768728</c:v>
                </c:pt>
                <c:pt idx="8">
                  <c:v>11.469222277892463</c:v>
                </c:pt>
                <c:pt idx="9">
                  <c:v>13.283305876680668</c:v>
                </c:pt>
                <c:pt idx="10">
                  <c:v>15.051077675349326</c:v>
                </c:pt>
                <c:pt idx="11">
                  <c:v>16.781635559339072</c:v>
                </c:pt>
                <c:pt idx="12">
                  <c:v>18.480531851782004</c:v>
                </c:pt>
                <c:pt idx="13">
                  <c:v>20.151075861772814</c:v>
                </c:pt>
                <c:pt idx="14">
                  <c:v>21.79506741077741</c:v>
                </c:pt>
                <c:pt idx="15">
                  <c:v>23.413224446370535</c:v>
                </c:pt>
                <c:pt idx="16">
                  <c:v>25.005435882041542</c:v>
                </c:pt>
                <c:pt idx="17">
                  <c:v>26.570908485671261</c:v>
                </c:pt>
                <c:pt idx="18">
                  <c:v>28.108245271413203</c:v>
                </c:pt>
                <c:pt idx="19">
                  <c:v>29.615476095434349</c:v>
                </c:pt>
                <c:pt idx="20">
                  <c:v>31.090051635779325</c:v>
                </c:pt>
                <c:pt idx="21">
                  <c:v>32.528806104761301</c:v>
                </c:pt>
                <c:pt idx="22">
                  <c:v>33.927890085445803</c:v>
                </c:pt>
                <c:pt idx="23">
                  <c:v>35.282671801541305</c:v>
                </c:pt>
                <c:pt idx="24">
                  <c:v>36.587602305768037</c:v>
                </c:pt>
                <c:pt idx="25">
                  <c:v>37.836037056683018</c:v>
                </c:pt>
                <c:pt idx="26">
                  <c:v>39.020002744605947</c:v>
                </c:pt>
                <c:pt idx="27">
                  <c:v>40.129893583156779</c:v>
                </c:pt>
                <c:pt idx="28">
                  <c:v>41.154075056751658</c:v>
                </c:pt>
                <c:pt idx="29">
                  <c:v>42.0783645839619</c:v>
                </c:pt>
                <c:pt idx="30">
                  <c:v>42.885346758209742</c:v>
                </c:pt>
                <c:pt idx="31">
                  <c:v>43.553464515484016</c:v>
                </c:pt>
                <c:pt idx="32">
                  <c:v>44.055805294249346</c:v>
                </c:pt>
                <c:pt idx="33">
                  <c:v>44.358471724503694</c:v>
                </c:pt>
                <c:pt idx="34">
                  <c:v>44.418389855779985</c:v>
                </c:pt>
                <c:pt idx="35">
                  <c:v>44.180369904364255</c:v>
                </c:pt>
                <c:pt idx="36">
                  <c:v>43.573215475824561</c:v>
                </c:pt>
                <c:pt idx="37">
                  <c:v>42.504736921659145</c:v>
                </c:pt>
                <c:pt idx="38">
                  <c:v>40.855818454367252</c:v>
                </c:pt>
                <c:pt idx="39">
                  <c:v>38.474587829129376</c:v>
                </c:pt>
                <c:pt idx="40">
                  <c:v>35.174026373564026</c:v>
                </c:pt>
                <c:pt idx="41">
                  <c:v>30.741321290510641</c:v>
                </c:pt>
                <c:pt idx="42">
                  <c:v>24.975545248162792</c:v>
                </c:pt>
                <c:pt idx="43">
                  <c:v>17.776153565937548</c:v>
                </c:pt>
                <c:pt idx="44">
                  <c:v>9.2843491295047027</c:v>
                </c:pt>
                <c:pt idx="45">
                  <c:v>1.6546161282334624E-14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D10-43EB-A20D-80A41E0F4C79}"/>
            </c:ext>
          </c:extLst>
        </c:ser>
        <c:ser>
          <c:idx val="18"/>
          <c:order val="18"/>
          <c:tx>
            <c:strRef>
              <c:f>xliv!$AN$3</c:f>
              <c:strCache>
                <c:ptCount val="1"/>
                <c:pt idx="0">
                  <c:v>Ma = 100000,0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xliv!$B$5:$B$50</c:f>
              <c:numCache>
                <c:formatCode>General</c:formatCode>
                <c:ptCount val="4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</c:numCache>
            </c:numRef>
          </c:xVal>
          <c:yVal>
            <c:numRef>
              <c:f>xliv!$AO$5:$AO$50</c:f>
              <c:numCache>
                <c:formatCode>0.000</c:formatCode>
                <c:ptCount val="46"/>
                <c:pt idx="0" formatCode="General">
                  <c:v>0</c:v>
                </c:pt>
                <c:pt idx="1">
                  <c:v>1.6665348434575749</c:v>
                </c:pt>
                <c:pt idx="2">
                  <c:v>3.3322782952338765</c:v>
                </c:pt>
                <c:pt idx="3">
                  <c:v>4.9964310819001581</c:v>
                </c:pt>
                <c:pt idx="4">
                  <c:v>6.6581792172359293</c:v>
                </c:pt>
                <c:pt idx="5">
                  <c:v>8.3166858207722125</c:v>
                </c:pt>
                <c:pt idx="6">
                  <c:v>9.971082813261372</c:v>
                </c:pt>
                <c:pt idx="7">
                  <c:v>11.62046195778616</c:v>
                </c:pt>
                <c:pt idx="8">
                  <c:v>13.26386506493875</c:v>
                </c:pt>
                <c:pt idx="9">
                  <c:v>14.900273135674098</c:v>
                </c:pt>
                <c:pt idx="10">
                  <c:v>16.528594175104608</c:v>
                </c:pt>
                <c:pt idx="11">
                  <c:v>18.14764936005497</c:v>
                </c:pt>
                <c:pt idx="12">
                  <c:v>19.756157178702612</c:v>
                </c:pt>
                <c:pt idx="13">
                  <c:v>21.352715078064691</c:v>
                </c:pt>
                <c:pt idx="14">
                  <c:v>22.935778049257106</c:v>
                </c:pt>
                <c:pt idx="15">
                  <c:v>24.503633444419975</c:v>
                </c:pt>
                <c:pt idx="16">
                  <c:v>26.054371143665815</c:v>
                </c:pt>
                <c:pt idx="17">
                  <c:v>27.585847962766874</c:v>
                </c:pt>
                <c:pt idx="18">
                  <c:v>29.095644895408221</c:v>
                </c:pt>
                <c:pt idx="19">
                  <c:v>30.581015394182749</c:v>
                </c:pt>
                <c:pt idx="20">
                  <c:v>32.038822379635519</c:v>
                </c:pt>
                <c:pt idx="21">
                  <c:v>33.465460981431455</c:v>
                </c:pt>
                <c:pt idx="22">
                  <c:v>34.856763096865599</c:v>
                </c:pt>
                <c:pt idx="23">
                  <c:v>36.207878610169722</c:v>
                </c:pt>
                <c:pt idx="24">
                  <c:v>37.513126424466854</c:v>
                </c:pt>
                <c:pt idx="25">
                  <c:v>38.765806135175815</c:v>
                </c:pt>
                <c:pt idx="26">
                  <c:v>39.95795795787128</c:v>
                </c:pt>
                <c:pt idx="27">
                  <c:v>41.080054037650292</c:v>
                </c:pt>
                <c:pt idx="28">
                  <c:v>42.12059796518809</c:v>
                </c:pt>
                <c:pt idx="29">
                  <c:v>43.0656004204331</c:v>
                </c:pt>
                <c:pt idx="30">
                  <c:v>43.897886237835607</c:v>
                </c:pt>
                <c:pt idx="31">
                  <c:v>44.596170282060555</c:v>
                </c:pt>
                <c:pt idx="32">
                  <c:v>45.133814301010069</c:v>
                </c:pt>
                <c:pt idx="33">
                  <c:v>45.477142046063676</c:v>
                </c:pt>
                <c:pt idx="34">
                  <c:v>45.583143727667405</c:v>
                </c:pt>
                <c:pt idx="35">
                  <c:v>45.396345385689813</c:v>
                </c:pt>
                <c:pt idx="36">
                  <c:v>44.844568824817372</c:v>
                </c:pt>
                <c:pt idx="37">
                  <c:v>43.833315061383509</c:v>
                </c:pt>
                <c:pt idx="38">
                  <c:v>42.238718248161092</c:v>
                </c:pt>
                <c:pt idx="39">
                  <c:v>39.899827541505466</c:v>
                </c:pt>
                <c:pt idx="40">
                  <c:v>36.613292079058084</c:v>
                </c:pt>
                <c:pt idx="41">
                  <c:v>32.13909391350419</c:v>
                </c:pt>
                <c:pt idx="42">
                  <c:v>26.236572594335257</c:v>
                </c:pt>
                <c:pt idx="43">
                  <c:v>18.761014913932325</c:v>
                </c:pt>
                <c:pt idx="44">
                  <c:v>9.8336896170272219</c:v>
                </c:pt>
                <c:pt idx="45">
                  <c:v>1.7548958925280073E-14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D10-43EB-A20D-80A41E0F4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89"/>
          <c:min val="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xliv                                           </a:t>
                </a:r>
                <a:endParaRPr lang="de-DE" i="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4"/>
        <c:minorUnit val="1"/>
      </c:valAx>
      <c:valAx>
        <c:axId val="1903764864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888777207457472E-2"/>
          <c:y val="1.4263738880256678E-2"/>
          <c:w val="0.87597314922554481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xlv!$D$3</c:f>
              <c:strCache>
                <c:ptCount val="1"/>
                <c:pt idx="0">
                  <c:v>θ = 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xlv!$D$5:$D$61</c:f>
              <c:numCache>
                <c:formatCode>0.0000</c:formatCode>
                <c:ptCount val="57"/>
                <c:pt idx="0">
                  <c:v>5.7587704831436337</c:v>
                </c:pt>
                <c:pt idx="1">
                  <c:v>5.4874042659870401</c:v>
                </c:pt>
                <c:pt idx="2">
                  <c:v>5.2408430641678487</c:v>
                </c:pt>
                <c:pt idx="3">
                  <c:v>5.0158517362546418</c:v>
                </c:pt>
                <c:pt idx="4">
                  <c:v>4.8097343447441316</c:v>
                </c:pt>
                <c:pt idx="5">
                  <c:v>4.6202263153452989</c:v>
                </c:pt>
                <c:pt idx="6">
                  <c:v>4.4454114825858007</c:v>
                </c:pt>
                <c:pt idx="7">
                  <c:v>4.2836575697311856</c:v>
                </c:pt>
                <c:pt idx="8">
                  <c:v>4.1335654944387494</c:v>
                </c:pt>
                <c:pt idx="9">
                  <c:v>3.9939291628997848</c:v>
                </c:pt>
                <c:pt idx="10">
                  <c:v>3.8637033051562737</c:v>
                </c:pt>
                <c:pt idx="11">
                  <c:v>3.7419775358429983</c:v>
                </c:pt>
                <c:pt idx="12">
                  <c:v>3.6279552785433005</c:v>
                </c:pt>
                <c:pt idx="13">
                  <c:v>3.4203036198332684</c:v>
                </c:pt>
                <c:pt idx="14">
                  <c:v>3.2360679774997898</c:v>
                </c:pt>
                <c:pt idx="15">
                  <c:v>2.9238044001630876</c:v>
                </c:pt>
                <c:pt idx="16">
                  <c:v>2.6694671625540143</c:v>
                </c:pt>
                <c:pt idx="17">
                  <c:v>2.4585933355742386</c:v>
                </c:pt>
                <c:pt idx="18">
                  <c:v>2.2811720327048595</c:v>
                </c:pt>
                <c:pt idx="19">
                  <c:v>2.1300544681895124</c:v>
                </c:pt>
                <c:pt idx="20">
                  <c:v>2</c:v>
                </c:pt>
                <c:pt idx="21">
                  <c:v>1.8870799147998585</c:v>
                </c:pt>
                <c:pt idx="22">
                  <c:v>1.7882916499714003</c:v>
                </c:pt>
                <c:pt idx="23">
                  <c:v>1.7013016167040798</c:v>
                </c:pt>
                <c:pt idx="24">
                  <c:v>1.6242692454827443</c:v>
                </c:pt>
                <c:pt idx="25">
                  <c:v>1.5557238268604126</c:v>
                </c:pt>
                <c:pt idx="26">
                  <c:v>1.4944765498646086</c:v>
                </c:pt>
                <c:pt idx="27">
                  <c:v>1.4395565396257264</c:v>
                </c:pt>
                <c:pt idx="28">
                  <c:v>1.390163591016679</c:v>
                </c:pt>
                <c:pt idx="29">
                  <c:v>1.3456327296063764</c:v>
                </c:pt>
                <c:pt idx="30">
                  <c:v>1.3054072893322786</c:v>
                </c:pt>
                <c:pt idx="31">
                  <c:v>1.2690182150725788</c:v>
                </c:pt>
                <c:pt idx="32">
                  <c:v>1.2360679774997896</c:v>
                </c:pt>
                <c:pt idx="33">
                  <c:v>1.2062179485039053</c:v>
                </c:pt>
                <c:pt idx="34">
                  <c:v>1.1791784033620965</c:v>
                </c:pt>
                <c:pt idx="35">
                  <c:v>1.1547005383792517</c:v>
                </c:pt>
                <c:pt idx="36">
                  <c:v>1.1325700506890393</c:v>
                </c:pt>
                <c:pt idx="37">
                  <c:v>1.1126019404751888</c:v>
                </c:pt>
                <c:pt idx="38">
                  <c:v>1.0946362785060468</c:v>
                </c:pt>
                <c:pt idx="39">
                  <c:v>1.0785347426775833</c:v>
                </c:pt>
                <c:pt idx="40">
                  <c:v>1.0641777724759123</c:v>
                </c:pt>
                <c:pt idx="41">
                  <c:v>1.0514622242382672</c:v>
                </c:pt>
                <c:pt idx="42">
                  <c:v>1.040299435861602</c:v>
                </c:pt>
                <c:pt idx="43">
                  <c:v>1.0306136293498982</c:v>
                </c:pt>
                <c:pt idx="44">
                  <c:v>1.0223405948650293</c:v>
                </c:pt>
                <c:pt idx="45">
                  <c:v>1.0154266118857451</c:v>
                </c:pt>
                <c:pt idx="46">
                  <c:v>1.0098275725186181</c:v>
                </c:pt>
                <c:pt idx="47">
                  <c:v>1.0055082795635164</c:v>
                </c:pt>
                <c:pt idx="48">
                  <c:v>1.0024418980811722</c:v>
                </c:pt>
                <c:pt idx="49">
                  <c:v>1.0018686870561793</c:v>
                </c:pt>
                <c:pt idx="50">
                  <c:v>1.0013723459979209</c:v>
                </c:pt>
                <c:pt idx="51">
                  <c:v>1.0009526851633199</c:v>
                </c:pt>
                <c:pt idx="52">
                  <c:v>1.0006095442988217</c:v>
                </c:pt>
                <c:pt idx="53">
                  <c:v>1.0003427924908679</c:v>
                </c:pt>
                <c:pt idx="54">
                  <c:v>1.0001523280439077</c:v>
                </c:pt>
                <c:pt idx="55">
                  <c:v>1.000038078385737</c:v>
                </c:pt>
                <c:pt idx="56">
                  <c:v>1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330-4B5A-8A0D-962D7D021394}"/>
            </c:ext>
          </c:extLst>
        </c:ser>
        <c:ser>
          <c:idx val="1"/>
          <c:order val="1"/>
          <c:tx>
            <c:strRef>
              <c:f>xlv!$E$3</c:f>
              <c:strCache>
                <c:ptCount val="1"/>
                <c:pt idx="0">
                  <c:v>θ = 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xlv!$E$5:$E$61</c:f>
              <c:numCache>
                <c:formatCode>0.0000</c:formatCode>
                <c:ptCount val="57"/>
                <c:pt idx="0">
                  <c:v>9.158205325850771</c:v>
                </c:pt>
                <c:pt idx="1">
                  <c:v>8.4328886732896677</c:v>
                </c:pt>
                <c:pt idx="2">
                  <c:v>7.8225735905099851</c:v>
                </c:pt>
                <c:pt idx="3">
                  <c:v>7.3007908237930348</c:v>
                </c:pt>
                <c:pt idx="4">
                  <c:v>6.8488494363037731</c:v>
                </c:pt>
                <c:pt idx="5">
                  <c:v>6.4531207129456503</c:v>
                </c:pt>
                <c:pt idx="6">
                  <c:v>6.1034004562400117</c:v>
                </c:pt>
                <c:pt idx="7">
                  <c:v>5.7918767564470119</c:v>
                </c:pt>
                <c:pt idx="8">
                  <c:v>5.5124548407327421</c:v>
                </c:pt>
                <c:pt idx="9">
                  <c:v>5.2603013853299574</c:v>
                </c:pt>
                <c:pt idx="10">
                  <c:v>5.0315285399435314</c:v>
                </c:pt>
                <c:pt idx="11">
                  <c:v>4.8229696340979178</c:v>
                </c:pt>
                <c:pt idx="12">
                  <c:v>4.6320166590199952</c:v>
                </c:pt>
                <c:pt idx="13">
                  <c:v>4.2946002817638984</c:v>
                </c:pt>
                <c:pt idx="14">
                  <c:v>4.0057164362501867</c:v>
                </c:pt>
                <c:pt idx="15">
                  <c:v>3.5367613613854618</c:v>
                </c:pt>
                <c:pt idx="16">
                  <c:v>3.1724414405602719</c:v>
                </c:pt>
                <c:pt idx="17">
                  <c:v>2.8814331535021172</c:v>
                </c:pt>
                <c:pt idx="18">
                  <c:v>2.643888248688715</c:v>
                </c:pt>
                <c:pt idx="19">
                  <c:v>2.4465934543088963</c:v>
                </c:pt>
                <c:pt idx="20">
                  <c:v>2.2804006591039485</c:v>
                </c:pt>
                <c:pt idx="21">
                  <c:v>2.1387707563697442</c:v>
                </c:pt>
                <c:pt idx="22">
                  <c:v>2.0169042191666926</c:v>
                </c:pt>
                <c:pt idx="23">
                  <c:v>1.9111991763056482</c:v>
                </c:pt>
                <c:pt idx="24">
                  <c:v>1.8189012435111094</c:v>
                </c:pt>
                <c:pt idx="25">
                  <c:v>1.7378702530505226</c:v>
                </c:pt>
                <c:pt idx="26">
                  <c:v>1.6664207633701456</c:v>
                </c:pt>
                <c:pt idx="27">
                  <c:v>1.6032105723769321</c:v>
                </c:pt>
                <c:pt idx="28">
                  <c:v>1.54716132803647</c:v>
                </c:pt>
                <c:pt idx="29">
                  <c:v>1.4974011533513998</c:v>
                </c:pt>
                <c:pt idx="30">
                  <c:v>1.453222753815067</c:v>
                </c:pt>
                <c:pt idx="31">
                  <c:v>1.4140527118408941</c:v>
                </c:pt>
                <c:pt idx="32">
                  <c:v>1.3794291323395729</c:v>
                </c:pt>
                <c:pt idx="33">
                  <c:v>1.3489858023245154</c:v>
                </c:pt>
                <c:pt idx="34">
                  <c:v>1.3224417627267262</c:v>
                </c:pt>
                <c:pt idx="35">
                  <c:v>1.2995958010973374</c:v>
                </c:pt>
                <c:pt idx="36">
                  <c:v>1.2803259793232173</c:v>
                </c:pt>
                <c:pt idx="37">
                  <c:v>1.2645950496058349</c:v>
                </c:pt>
                <c:pt idx="38">
                  <c:v>1.2524636962773597</c:v>
                </c:pt>
                <c:pt idx="39">
                  <c:v>1.2441153573299459</c:v>
                </c:pt>
                <c:pt idx="40">
                  <c:v>1.2398997170792008</c:v>
                </c:pt>
                <c:pt idx="41">
                  <c:v>1.2404085652742438</c:v>
                </c:pt>
                <c:pt idx="42">
                  <c:v>1.2466117527413925</c:v>
                </c:pt>
                <c:pt idx="43">
                  <c:v>1.2601132631565772</c:v>
                </c:pt>
                <c:pt idx="44">
                  <c:v>1.2836691498294084</c:v>
                </c:pt>
                <c:pt idx="45">
                  <c:v>1.3223426178674578</c:v>
                </c:pt>
                <c:pt idx="46">
                  <c:v>1.3864564129298322</c:v>
                </c:pt>
                <c:pt idx="47">
                  <c:v>1.5008349785419117</c:v>
                </c:pt>
                <c:pt idx="48">
                  <c:v>1.7455619458954932</c:v>
                </c:pt>
                <c:pt idx="49">
                  <c:v>1.8569187078940772</c:v>
                </c:pt>
                <c:pt idx="50">
                  <c:v>2.0129225120165803</c:v>
                </c:pt>
                <c:pt idx="51">
                  <c:v>2.2496852778867527</c:v>
                </c:pt>
                <c:pt idx="52">
                  <c:v>2.6620459856759919</c:v>
                </c:pt>
                <c:pt idx="53">
                  <c:v>3.6335394146072026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E330-4B5A-8A0D-962D7D021394}"/>
            </c:ext>
          </c:extLst>
        </c:ser>
        <c:ser>
          <c:idx val="2"/>
          <c:order val="2"/>
          <c:tx>
            <c:strRef>
              <c:f>xlv!$F$3</c:f>
              <c:strCache>
                <c:ptCount val="1"/>
                <c:pt idx="0">
                  <c:v>θ = 10°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xlv!$F$5:$F$61</c:f>
              <c:numCache>
                <c:formatCode>0.0000</c:formatCode>
                <c:ptCount val="57"/>
                <c:pt idx="5">
                  <c:v>24.239255467464268</c:v>
                </c:pt>
                <c:pt idx="6">
                  <c:v>16.520632602064154</c:v>
                </c:pt>
                <c:pt idx="7">
                  <c:v>13.174908033750807</c:v>
                </c:pt>
                <c:pt idx="8">
                  <c:v>11.18590329846365</c:v>
                </c:pt>
                <c:pt idx="9">
                  <c:v>9.8269587676065129</c:v>
                </c:pt>
                <c:pt idx="10">
                  <c:v>8.8218813401527356</c:v>
                </c:pt>
                <c:pt idx="11">
                  <c:v>8.0393657670235559</c:v>
                </c:pt>
                <c:pt idx="12">
                  <c:v>7.4078180813606478</c:v>
                </c:pt>
                <c:pt idx="13">
                  <c:v>6.4415616235855122</c:v>
                </c:pt>
                <c:pt idx="14">
                  <c:v>5.7291275028381881</c:v>
                </c:pt>
                <c:pt idx="15">
                  <c:v>4.7346553076766096</c:v>
                </c:pt>
                <c:pt idx="16">
                  <c:v>4.0646821145913883</c:v>
                </c:pt>
                <c:pt idx="17">
                  <c:v>3.5786169115837394</c:v>
                </c:pt>
                <c:pt idx="18">
                  <c:v>3.2084680611427348</c:v>
                </c:pt>
                <c:pt idx="19">
                  <c:v>2.916779482436954</c:v>
                </c:pt>
                <c:pt idx="20">
                  <c:v>2.6810059624604055</c:v>
                </c:pt>
                <c:pt idx="21">
                  <c:v>2.4866756820887872</c:v>
                </c:pt>
                <c:pt idx="22">
                  <c:v>2.324033969400761</c:v>
                </c:pt>
                <c:pt idx="23">
                  <c:v>2.1862489947306636</c:v>
                </c:pt>
                <c:pt idx="24">
                  <c:v>2.0683869373191941</c:v>
                </c:pt>
                <c:pt idx="25">
                  <c:v>1.9667949753781928</c:v>
                </c:pt>
                <c:pt idx="26">
                  <c:v>1.8787135610123187</c:v>
                </c:pt>
                <c:pt idx="27">
                  <c:v>1.8020240658957574</c:v>
                </c:pt>
                <c:pt idx="28">
                  <c:v>1.7350797548474557</c:v>
                </c:pt>
                <c:pt idx="29">
                  <c:v>1.6765899786677967</c:v>
                </c:pt>
                <c:pt idx="30">
                  <c:v>1.6255395474684169</c:v>
                </c:pt>
                <c:pt idx="31">
                  <c:v>1.5811321905288844</c:v>
                </c:pt>
                <c:pt idx="32">
                  <c:v>1.5427511868606945</c:v>
                </c:pt>
                <c:pt idx="33">
                  <c:v>1.5099329009401654</c:v>
                </c:pt>
                <c:pt idx="34">
                  <c:v>1.4823507742980944</c:v>
                </c:pt>
                <c:pt idx="35">
                  <c:v>1.4598087367159203</c:v>
                </c:pt>
                <c:pt idx="36">
                  <c:v>1.4422443363103601</c:v>
                </c:pt>
                <c:pt idx="37">
                  <c:v>1.4297434834160005</c:v>
                </c:pt>
                <c:pt idx="38">
                  <c:v>1.4225710476978215</c:v>
                </c:pt>
                <c:pt idx="39">
                  <c:v>1.4212255303936565</c:v>
                </c:pt>
                <c:pt idx="40">
                  <c:v>1.426533497296417</c:v>
                </c:pt>
                <c:pt idx="41">
                  <c:v>1.4398145846594184</c:v>
                </c:pt>
                <c:pt idx="42">
                  <c:v>1.4631809958590758</c:v>
                </c:pt>
                <c:pt idx="43">
                  <c:v>1.5001144622044018</c:v>
                </c:pt>
                <c:pt idx="44">
                  <c:v>1.5566737974052236</c:v>
                </c:pt>
                <c:pt idx="45">
                  <c:v>1.6443285443908338</c:v>
                </c:pt>
                <c:pt idx="46">
                  <c:v>1.7877964637949031</c:v>
                </c:pt>
                <c:pt idx="47">
                  <c:v>2.053118506422317</c:v>
                </c:pt>
                <c:pt idx="48">
                  <c:v>2.712722547730638</c:v>
                </c:pt>
                <c:pt idx="49">
                  <c:v>3.0813678010687426</c:v>
                </c:pt>
                <c:pt idx="50">
                  <c:v>3.7214321973940159</c:v>
                </c:pt>
                <c:pt idx="51">
                  <c:v>5.2513278046169622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E330-4B5A-8A0D-962D7D021394}"/>
            </c:ext>
          </c:extLst>
        </c:ser>
        <c:ser>
          <c:idx val="3"/>
          <c:order val="3"/>
          <c:tx>
            <c:strRef>
              <c:f>xlv!$G$3</c:f>
              <c:strCache>
                <c:ptCount val="1"/>
                <c:pt idx="0">
                  <c:v>θ = 15°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xlv!$G$5:$G$61</c:f>
              <c:numCache>
                <c:formatCode>0.0000</c:formatCode>
                <c:ptCount val="57"/>
                <c:pt idx="15">
                  <c:v>9.8311593671925159</c:v>
                </c:pt>
                <c:pt idx="16">
                  <c:v>6.5780950068793871</c:v>
                </c:pt>
                <c:pt idx="17">
                  <c:v>5.1615952729531269</c:v>
                </c:pt>
                <c:pt idx="18">
                  <c:v>4.3245719662566975</c:v>
                </c:pt>
                <c:pt idx="19">
                  <c:v>3.7593356451891826</c:v>
                </c:pt>
                <c:pt idx="20">
                  <c:v>3.3476749216056345</c:v>
                </c:pt>
                <c:pt idx="21">
                  <c:v>3.0329428937700902</c:v>
                </c:pt>
                <c:pt idx="22">
                  <c:v>2.7840822535821181</c:v>
                </c:pt>
                <c:pt idx="23">
                  <c:v>2.5824400688209619</c:v>
                </c:pt>
                <c:pt idx="24">
                  <c:v>2.4160516695143919</c:v>
                </c:pt>
                <c:pt idx="25">
                  <c:v>2.2768535513509334</c:v>
                </c:pt>
                <c:pt idx="26">
                  <c:v>2.1592005632462099</c:v>
                </c:pt>
                <c:pt idx="27">
                  <c:v>2.0590221533839994</c:v>
                </c:pt>
                <c:pt idx="28">
                  <c:v>1.9733161525585019</c:v>
                </c:pt>
                <c:pt idx="29">
                  <c:v>1.8998321003480483</c:v>
                </c:pt>
                <c:pt idx="30">
                  <c:v>1.8368667087825592</c:v>
                </c:pt>
                <c:pt idx="31">
                  <c:v>1.7831288863217802</c:v>
                </c:pt>
                <c:pt idx="32">
                  <c:v>1.7376500180789423</c:v>
                </c:pt>
                <c:pt idx="33">
                  <c:v>1.6997253731166744</c:v>
                </c:pt>
                <c:pt idx="34">
                  <c:v>1.6688785877830765</c:v>
                </c:pt>
                <c:pt idx="35">
                  <c:v>1.6448452114453034</c:v>
                </c:pt>
                <c:pt idx="36">
                  <c:v>1.6275745075648791</c:v>
                </c:pt>
                <c:pt idx="37">
                  <c:v>1.6172520094326548</c:v>
                </c:pt>
                <c:pt idx="38">
                  <c:v>1.6143498126567608</c:v>
                </c:pt>
                <c:pt idx="39">
                  <c:v>1.6197190417218039</c:v>
                </c:pt>
                <c:pt idx="40">
                  <c:v>1.6347530622907376</c:v>
                </c:pt>
                <c:pt idx="41">
                  <c:v>1.6616794698121784</c:v>
                </c:pt>
                <c:pt idx="42">
                  <c:v>1.7041059364363074</c:v>
                </c:pt>
                <c:pt idx="43">
                  <c:v>1.7681135192250395</c:v>
                </c:pt>
                <c:pt idx="44">
                  <c:v>1.8646703474324478</c:v>
                </c:pt>
                <c:pt idx="45">
                  <c:v>2.0157471135494949</c:v>
                </c:pt>
                <c:pt idx="46">
                  <c:v>2.2733727622927762</c:v>
                </c:pt>
                <c:pt idx="47">
                  <c:v>2.8042802535276388</c:v>
                </c:pt>
                <c:pt idx="48">
                  <c:v>4.7954292773010581</c:v>
                </c:pt>
                <c:pt idx="49">
                  <c:v>7.2014514907823406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E330-4B5A-8A0D-962D7D021394}"/>
            </c:ext>
          </c:extLst>
        </c:ser>
        <c:ser>
          <c:idx val="4"/>
          <c:order val="4"/>
          <c:tx>
            <c:strRef>
              <c:f>xlv!$H$3</c:f>
              <c:strCache>
                <c:ptCount val="1"/>
                <c:pt idx="0">
                  <c:v>θ = 20°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xlv!$H$5:$H$61</c:f>
              <c:numCache>
                <c:formatCode>0.0000</c:formatCode>
                <c:ptCount val="57"/>
                <c:pt idx="18">
                  <c:v>9.4238134064198267</c:v>
                </c:pt>
                <c:pt idx="19">
                  <c:v>6.2224017989068505</c:v>
                </c:pt>
                <c:pt idx="20">
                  <c:v>4.9015883933724629</c:v>
                </c:pt>
                <c:pt idx="21">
                  <c:v>4.1357634908500396</c:v>
                </c:pt>
                <c:pt idx="22">
                  <c:v>3.623460285234803</c:v>
                </c:pt>
                <c:pt idx="23">
                  <c:v>3.2525093423381799</c:v>
                </c:pt>
                <c:pt idx="24">
                  <c:v>2.9701808609664817</c:v>
                </c:pt>
                <c:pt idx="25">
                  <c:v>2.7479427797822678</c:v>
                </c:pt>
                <c:pt idx="26">
                  <c:v>2.5688287201164535</c:v>
                </c:pt>
                <c:pt idx="27">
                  <c:v>2.4220482269331547</c:v>
                </c:pt>
                <c:pt idx="28">
                  <c:v>2.3003912938681101</c:v>
                </c:pt>
                <c:pt idx="29">
                  <c:v>2.1988621798809893</c:v>
                </c:pt>
                <c:pt idx="30">
                  <c:v>2.1139102515531656</c:v>
                </c:pt>
                <c:pt idx="31">
                  <c:v>2.0429745661545518</c:v>
                </c:pt>
                <c:pt idx="32">
                  <c:v>1.9842048046616032</c:v>
                </c:pt>
                <c:pt idx="33">
                  <c:v>1.9362878958544774</c:v>
                </c:pt>
                <c:pt idx="34">
                  <c:v>1.8983427523353453</c:v>
                </c:pt>
                <c:pt idx="35">
                  <c:v>1.8698634536195982</c:v>
                </c:pt>
                <c:pt idx="36">
                  <c:v>1.8507022835685696</c:v>
                </c:pt>
                <c:pt idx="37">
                  <c:v>1.8410926568454207</c:v>
                </c:pt>
                <c:pt idx="38">
                  <c:v>1.8417213958109833</c:v>
                </c:pt>
                <c:pt idx="39">
                  <c:v>1.8538740709278041</c:v>
                </c:pt>
                <c:pt idx="40">
                  <c:v>1.8797038340544308</c:v>
                </c:pt>
                <c:pt idx="41">
                  <c:v>1.922731446484051</c:v>
                </c:pt>
                <c:pt idx="42">
                  <c:v>1.9888210520848815</c:v>
                </c:pt>
                <c:pt idx="43">
                  <c:v>2.0882437246507752</c:v>
                </c:pt>
                <c:pt idx="44">
                  <c:v>2.2405839327540482</c:v>
                </c:pt>
                <c:pt idx="45">
                  <c:v>2.4886034684349694</c:v>
                </c:pt>
                <c:pt idx="46">
                  <c:v>2.9499531578315237</c:v>
                </c:pt>
                <c:pt idx="47">
                  <c:v>4.1538963408227598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E330-4B5A-8A0D-962D7D021394}"/>
            </c:ext>
          </c:extLst>
        </c:ser>
        <c:ser>
          <c:idx val="5"/>
          <c:order val="5"/>
          <c:tx>
            <c:strRef>
              <c:f>xlv!$I$3</c:f>
              <c:strCache>
                <c:ptCount val="1"/>
                <c:pt idx="0">
                  <c:v>θ = 25°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xlv!$I$5:$I$61</c:f>
              <c:numCache>
                <c:formatCode>0.0000</c:formatCode>
                <c:ptCount val="57"/>
                <c:pt idx="21">
                  <c:v>9.9743072763160967</c:v>
                </c:pt>
                <c:pt idx="22">
                  <c:v>6.2535203652366516</c:v>
                </c:pt>
                <c:pt idx="23">
                  <c:v>4.8899139690980764</c:v>
                </c:pt>
                <c:pt idx="24">
                  <c:v>4.131031375139969</c:v>
                </c:pt>
                <c:pt idx="25">
                  <c:v>3.6347670171920008</c:v>
                </c:pt>
                <c:pt idx="26">
                  <c:v>3.2811423510556903</c:v>
                </c:pt>
                <c:pt idx="27">
                  <c:v>3.0156590391566089</c:v>
                </c:pt>
                <c:pt idx="28">
                  <c:v>2.8095243001456307</c:v>
                </c:pt>
                <c:pt idx="29">
                  <c:v>2.6459437779081796</c:v>
                </c:pt>
                <c:pt idx="30">
                  <c:v>2.5144309060401286</c:v>
                </c:pt>
                <c:pt idx="31">
                  <c:v>2.4081253363439146</c:v>
                </c:pt>
                <c:pt idx="32">
                  <c:v>2.3224100944488608</c:v>
                </c:pt>
                <c:pt idx="33">
                  <c:v>2.2541525382946657</c:v>
                </c:pt>
                <c:pt idx="34">
                  <c:v>2.2012736682670937</c:v>
                </c:pt>
                <c:pt idx="35">
                  <c:v>2.1625074068309824</c:v>
                </c:pt>
                <c:pt idx="36">
                  <c:v>2.1372844203638888</c:v>
                </c:pt>
                <c:pt idx="37">
                  <c:v>2.1257147129542817</c:v>
                </c:pt>
                <c:pt idx="38">
                  <c:v>2.1286719989175324</c:v>
                </c:pt>
                <c:pt idx="39">
                  <c:v>2.1480154573315544</c:v>
                </c:pt>
                <c:pt idx="40">
                  <c:v>2.1870399477530369</c:v>
                </c:pt>
                <c:pt idx="41">
                  <c:v>2.2513662434037678</c:v>
                </c:pt>
                <c:pt idx="42">
                  <c:v>2.3507883095376538</c:v>
                </c:pt>
                <c:pt idx="43">
                  <c:v>2.5034913140665287</c:v>
                </c:pt>
                <c:pt idx="44">
                  <c:v>2.7472172188869384</c:v>
                </c:pt>
                <c:pt idx="45">
                  <c:v>3.1765525502941405</c:v>
                </c:pt>
                <c:pt idx="46">
                  <c:v>4.1330906481718852</c:v>
                </c:pt>
                <c:pt idx="47">
                  <c:v>10.102394224147952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E330-4B5A-8A0D-962D7D021394}"/>
            </c:ext>
          </c:extLst>
        </c:ser>
        <c:ser>
          <c:idx val="6"/>
          <c:order val="6"/>
          <c:tx>
            <c:strRef>
              <c:f>xlv!$J$3</c:f>
              <c:strCache>
                <c:ptCount val="1"/>
                <c:pt idx="0">
                  <c:v>θ = 30°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xlv!$J$5:$J$61</c:f>
              <c:numCache>
                <c:formatCode>0.0000</c:formatCode>
                <c:ptCount val="57"/>
                <c:pt idx="24">
                  <c:v>12.897045002945397</c:v>
                </c:pt>
                <c:pt idx="25">
                  <c:v>6.8114212973560084</c:v>
                </c:pt>
                <c:pt idx="26">
                  <c:v>5.1786201822462221</c:v>
                </c:pt>
                <c:pt idx="27">
                  <c:v>4.3438981212150791</c:v>
                </c:pt>
                <c:pt idx="28">
                  <c:v>3.8221274100068467</c:v>
                </c:pt>
                <c:pt idx="29">
                  <c:v>3.4620718237275314</c:v>
                </c:pt>
                <c:pt idx="30">
                  <c:v>3.1992888429665518</c:v>
                </c:pt>
                <c:pt idx="31">
                  <c:v>3.0011927055510532</c:v>
                </c:pt>
                <c:pt idx="32">
                  <c:v>2.8494662829963162</c:v>
                </c:pt>
                <c:pt idx="33">
                  <c:v>2.7331174760389811</c:v>
                </c:pt>
                <c:pt idx="34">
                  <c:v>2.6453427613917979</c:v>
                </c:pt>
                <c:pt idx="35">
                  <c:v>2.5819887618027759</c:v>
                </c:pt>
                <c:pt idx="36">
                  <c:v>2.5407827575456312</c:v>
                </c:pt>
                <c:pt idx="37">
                  <c:v>2.5209972732118446</c:v>
                </c:pt>
                <c:pt idx="38">
                  <c:v>2.5234289568323902</c:v>
                </c:pt>
                <c:pt idx="39">
                  <c:v>2.5507052433863078</c:v>
                </c:pt>
                <c:pt idx="40">
                  <c:v>2.6080850370140976</c:v>
                </c:pt>
                <c:pt idx="41">
                  <c:v>2.7052250375964713</c:v>
                </c:pt>
                <c:pt idx="42">
                  <c:v>2.8602096520288152</c:v>
                </c:pt>
                <c:pt idx="43">
                  <c:v>3.1099050822289231</c:v>
                </c:pt>
                <c:pt idx="44">
                  <c:v>3.5425914720401246</c:v>
                </c:pt>
                <c:pt idx="45">
                  <c:v>4.4458486976706828</c:v>
                </c:pt>
                <c:pt idx="46">
                  <c:v>8.0183058478575688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E330-4B5A-8A0D-962D7D021394}"/>
            </c:ext>
          </c:extLst>
        </c:ser>
        <c:ser>
          <c:idx val="7"/>
          <c:order val="7"/>
          <c:tx>
            <c:strRef>
              <c:f>xlv!$K$3</c:f>
              <c:strCache>
                <c:ptCount val="1"/>
                <c:pt idx="0">
                  <c:v>θ = 35°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xlv!$K$5:$K$61</c:f>
              <c:numCache>
                <c:formatCode>0.0000</c:formatCode>
                <c:ptCount val="57"/>
                <c:pt idx="28">
                  <c:v>8.748149557558234</c:v>
                </c:pt>
                <c:pt idx="29">
                  <c:v>6.0513022083367982</c:v>
                </c:pt>
                <c:pt idx="30">
                  <c:v>4.9409516695049991</c:v>
                </c:pt>
                <c:pt idx="31">
                  <c:v>4.3114331433501274</c:v>
                </c:pt>
                <c:pt idx="32">
                  <c:v>3.9048555117585058</c:v>
                </c:pt>
                <c:pt idx="33">
                  <c:v>3.6253222002571763</c:v>
                </c:pt>
                <c:pt idx="34">
                  <c:v>3.4285273538580054</c:v>
                </c:pt>
                <c:pt idx="35">
                  <c:v>3.2915393311012617</c:v>
                </c:pt>
                <c:pt idx="36">
                  <c:v>3.2020766565224537</c:v>
                </c:pt>
                <c:pt idx="37">
                  <c:v>3.1541784675172209</c:v>
                </c:pt>
                <c:pt idx="38">
                  <c:v>3.1465484426069574</c:v>
                </c:pt>
                <c:pt idx="39">
                  <c:v>3.1824655679786535</c:v>
                </c:pt>
                <c:pt idx="40">
                  <c:v>3.2712971917301483</c:v>
                </c:pt>
                <c:pt idx="41">
                  <c:v>3.4329106570436028</c:v>
                </c:pt>
                <c:pt idx="42">
                  <c:v>3.7096436402890993</c:v>
                </c:pt>
                <c:pt idx="43">
                  <c:v>4.2045051697243947</c:v>
                </c:pt>
                <c:pt idx="44">
                  <c:v>5.2545975055533818</c:v>
                </c:pt>
                <c:pt idx="45">
                  <c:v>9.4313419063844854</c:v>
                </c:pt>
              </c:numCache>
            </c:numRef>
          </c:xVal>
          <c:yVal>
            <c:numRef>
              <c:f>xlv!$B$5:$B$61</c:f>
              <c:numCache>
                <c:formatCode>General</c:formatCode>
                <c:ptCount val="57"/>
                <c:pt idx="0">
                  <c:v>10</c:v>
                </c:pt>
                <c:pt idx="1">
                  <c:v>10.5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12.5</c:v>
                </c:pt>
                <c:pt idx="6">
                  <c:v>13</c:v>
                </c:pt>
                <c:pt idx="7">
                  <c:v>13.5</c:v>
                </c:pt>
                <c:pt idx="8">
                  <c:v>14</c:v>
                </c:pt>
                <c:pt idx="9">
                  <c:v>14.5</c:v>
                </c:pt>
                <c:pt idx="10">
                  <c:v>15</c:v>
                </c:pt>
                <c:pt idx="11">
                  <c:v>15.5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22</c:v>
                </c:pt>
                <c:pt idx="17">
                  <c:v>24</c:v>
                </c:pt>
                <c:pt idx="18">
                  <c:v>26</c:v>
                </c:pt>
                <c:pt idx="19">
                  <c:v>28</c:v>
                </c:pt>
                <c:pt idx="20">
                  <c:v>30</c:v>
                </c:pt>
                <c:pt idx="21">
                  <c:v>32</c:v>
                </c:pt>
                <c:pt idx="22">
                  <c:v>34</c:v>
                </c:pt>
                <c:pt idx="23">
                  <c:v>36</c:v>
                </c:pt>
                <c:pt idx="24">
                  <c:v>38</c:v>
                </c:pt>
                <c:pt idx="25">
                  <c:v>40</c:v>
                </c:pt>
                <c:pt idx="26">
                  <c:v>42</c:v>
                </c:pt>
                <c:pt idx="27">
                  <c:v>44</c:v>
                </c:pt>
                <c:pt idx="28">
                  <c:v>46</c:v>
                </c:pt>
                <c:pt idx="29">
                  <c:v>48</c:v>
                </c:pt>
                <c:pt idx="30">
                  <c:v>50</c:v>
                </c:pt>
                <c:pt idx="31">
                  <c:v>52</c:v>
                </c:pt>
                <c:pt idx="32">
                  <c:v>54</c:v>
                </c:pt>
                <c:pt idx="33">
                  <c:v>56</c:v>
                </c:pt>
                <c:pt idx="34">
                  <c:v>58</c:v>
                </c:pt>
                <c:pt idx="35">
                  <c:v>60</c:v>
                </c:pt>
                <c:pt idx="36">
                  <c:v>62</c:v>
                </c:pt>
                <c:pt idx="37">
                  <c:v>64</c:v>
                </c:pt>
                <c:pt idx="38">
                  <c:v>66</c:v>
                </c:pt>
                <c:pt idx="39">
                  <c:v>68</c:v>
                </c:pt>
                <c:pt idx="40">
                  <c:v>70</c:v>
                </c:pt>
                <c:pt idx="41">
                  <c:v>72</c:v>
                </c:pt>
                <c:pt idx="42">
                  <c:v>74</c:v>
                </c:pt>
                <c:pt idx="43">
                  <c:v>76</c:v>
                </c:pt>
                <c:pt idx="44">
                  <c:v>78</c:v>
                </c:pt>
                <c:pt idx="45">
                  <c:v>80</c:v>
                </c:pt>
                <c:pt idx="46">
                  <c:v>82</c:v>
                </c:pt>
                <c:pt idx="47">
                  <c:v>84</c:v>
                </c:pt>
                <c:pt idx="48">
                  <c:v>86</c:v>
                </c:pt>
                <c:pt idx="49">
                  <c:v>86.5</c:v>
                </c:pt>
                <c:pt idx="50">
                  <c:v>87</c:v>
                </c:pt>
                <c:pt idx="51">
                  <c:v>87.5</c:v>
                </c:pt>
                <c:pt idx="52">
                  <c:v>88</c:v>
                </c:pt>
                <c:pt idx="53">
                  <c:v>88.5</c:v>
                </c:pt>
                <c:pt idx="54">
                  <c:v>89</c:v>
                </c:pt>
                <c:pt idx="55">
                  <c:v>89.5</c:v>
                </c:pt>
                <c:pt idx="56">
                  <c:v>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E330-4B5A-8A0D-962D7D021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.5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xlv                                                    Ma</a:t>
                </a:r>
                <a:r>
                  <a:rPr lang="de-DE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de-DE" i="1">
                    <a:solidFill>
                      <a:sysClr val="windowText" lastClr="000000"/>
                    </a:solidFill>
                  </a:rPr>
                  <a:t> 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[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-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2"/>
        <c:minorUnit val="5.000000000000001E-2"/>
      </c:valAx>
      <c:valAx>
        <c:axId val="1903764864"/>
        <c:scaling>
          <c:orientation val="minMax"/>
          <c:max val="90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01724072483124"/>
          <c:y val="1.4263741923879563E-2"/>
          <c:w val="0.8602328428767283"/>
          <c:h val="0.9261332321019686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xlvi!$C$3</c:f>
              <c:strCache>
                <c:ptCount val="1"/>
                <c:pt idx="0">
                  <c:v>θ = 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xlvi!$B$6:$B$56</c:f>
              <c:numCache>
                <c:formatCode>0.00</c:formatCode>
                <c:ptCount val="51"/>
                <c:pt idx="0">
                  <c:v>1</c:v>
                </c:pt>
                <c:pt idx="1">
                  <c:v>1.05</c:v>
                </c:pt>
                <c:pt idx="2">
                  <c:v>1.1000000000000001</c:v>
                </c:pt>
                <c:pt idx="3">
                  <c:v>1.1499999999999999</c:v>
                </c:pt>
                <c:pt idx="4">
                  <c:v>1.2</c:v>
                </c:pt>
                <c:pt idx="5">
                  <c:v>1.25</c:v>
                </c:pt>
                <c:pt idx="6">
                  <c:v>1.3</c:v>
                </c:pt>
                <c:pt idx="7">
                  <c:v>1.35</c:v>
                </c:pt>
                <c:pt idx="8">
                  <c:v>1.4</c:v>
                </c:pt>
                <c:pt idx="9">
                  <c:v>1.45</c:v>
                </c:pt>
                <c:pt idx="10">
                  <c:v>1.5</c:v>
                </c:pt>
                <c:pt idx="11">
                  <c:v>1.55</c:v>
                </c:pt>
                <c:pt idx="12">
                  <c:v>1.6</c:v>
                </c:pt>
                <c:pt idx="13">
                  <c:v>1.65</c:v>
                </c:pt>
                <c:pt idx="14">
                  <c:v>1.7</c:v>
                </c:pt>
                <c:pt idx="15">
                  <c:v>1.75</c:v>
                </c:pt>
                <c:pt idx="16">
                  <c:v>1.8</c:v>
                </c:pt>
                <c:pt idx="17">
                  <c:v>1.85</c:v>
                </c:pt>
                <c:pt idx="18">
                  <c:v>1.9</c:v>
                </c:pt>
                <c:pt idx="19">
                  <c:v>1.95</c:v>
                </c:pt>
                <c:pt idx="20">
                  <c:v>2</c:v>
                </c:pt>
                <c:pt idx="21">
                  <c:v>2.0499999999999998</c:v>
                </c:pt>
                <c:pt idx="22">
                  <c:v>2.1</c:v>
                </c:pt>
                <c:pt idx="23">
                  <c:v>2.15</c:v>
                </c:pt>
                <c:pt idx="24">
                  <c:v>2.2000000000000002</c:v>
                </c:pt>
                <c:pt idx="25">
                  <c:v>2.25</c:v>
                </c:pt>
                <c:pt idx="26">
                  <c:v>2.2999999999999998</c:v>
                </c:pt>
                <c:pt idx="27">
                  <c:v>2.35</c:v>
                </c:pt>
                <c:pt idx="28">
                  <c:v>2.4</c:v>
                </c:pt>
                <c:pt idx="29">
                  <c:v>2.4500000000000002</c:v>
                </c:pt>
                <c:pt idx="30">
                  <c:v>2.5</c:v>
                </c:pt>
                <c:pt idx="31">
                  <c:v>2.5499999999999998</c:v>
                </c:pt>
                <c:pt idx="32">
                  <c:v>2.6</c:v>
                </c:pt>
                <c:pt idx="33">
                  <c:v>2.65</c:v>
                </c:pt>
                <c:pt idx="34">
                  <c:v>2.7</c:v>
                </c:pt>
                <c:pt idx="35">
                  <c:v>2.75</c:v>
                </c:pt>
                <c:pt idx="36">
                  <c:v>2.8</c:v>
                </c:pt>
                <c:pt idx="37">
                  <c:v>2.85</c:v>
                </c:pt>
                <c:pt idx="38">
                  <c:v>2.9</c:v>
                </c:pt>
                <c:pt idx="39">
                  <c:v>2.95</c:v>
                </c:pt>
                <c:pt idx="40">
                  <c:v>3</c:v>
                </c:pt>
                <c:pt idx="41">
                  <c:v>3.05</c:v>
                </c:pt>
                <c:pt idx="42">
                  <c:v>3.1</c:v>
                </c:pt>
                <c:pt idx="43">
                  <c:v>3.15</c:v>
                </c:pt>
                <c:pt idx="44">
                  <c:v>3.2</c:v>
                </c:pt>
                <c:pt idx="45">
                  <c:v>3.25</c:v>
                </c:pt>
                <c:pt idx="46">
                  <c:v>3.3</c:v>
                </c:pt>
                <c:pt idx="47">
                  <c:v>3.35</c:v>
                </c:pt>
                <c:pt idx="48">
                  <c:v>3.4</c:v>
                </c:pt>
                <c:pt idx="49">
                  <c:v>3.45</c:v>
                </c:pt>
                <c:pt idx="50">
                  <c:v>3.5</c:v>
                </c:pt>
              </c:numCache>
            </c:numRef>
          </c:xVal>
          <c:yVal>
            <c:numRef>
              <c:f>xlvi!$C$6:$C$56</c:f>
              <c:numCache>
                <c:formatCode>0.0000</c:formatCode>
                <c:ptCount val="51"/>
                <c:pt idx="0">
                  <c:v>1</c:v>
                </c:pt>
                <c:pt idx="1">
                  <c:v>0.99985299009517314</c:v>
                </c:pt>
                <c:pt idx="2">
                  <c:v>0.99892801531447117</c:v>
                </c:pt>
                <c:pt idx="3">
                  <c:v>0.99668975878988608</c:v>
                </c:pt>
                <c:pt idx="4">
                  <c:v>0.99279839769936207</c:v>
                </c:pt>
                <c:pt idx="5">
                  <c:v>0.98705677037193806</c:v>
                </c:pt>
                <c:pt idx="6">
                  <c:v>0.97937364894321854</c:v>
                </c:pt>
                <c:pt idx="7">
                  <c:v>0.96973709318744861</c:v>
                </c:pt>
                <c:pt idx="8">
                  <c:v>0.95819441491554602</c:v>
                </c:pt>
                <c:pt idx="9">
                  <c:v>0.94483668541179422</c:v>
                </c:pt>
                <c:pt idx="10">
                  <c:v>0.92978651228282927</c:v>
                </c:pt>
                <c:pt idx="11">
                  <c:v>0.91318827243034917</c:v>
                </c:pt>
                <c:pt idx="12">
                  <c:v>0.89520026046533652</c:v>
                </c:pt>
                <c:pt idx="13">
                  <c:v>0.87598837652705697</c:v>
                </c:pt>
                <c:pt idx="14">
                  <c:v>0.85572107902379757</c:v>
                </c:pt>
                <c:pt idx="15">
                  <c:v>0.83456539208449942</c:v>
                </c:pt>
                <c:pt idx="16">
                  <c:v>0.81268379959868853</c:v>
                </c:pt>
                <c:pt idx="17">
                  <c:v>0.79023188655348287</c:v>
                </c:pt>
                <c:pt idx="18">
                  <c:v>0.76735660925323457</c:v>
                </c:pt>
                <c:pt idx="19">
                  <c:v>0.74419509207184276</c:v>
                </c:pt>
                <c:pt idx="20">
                  <c:v>0.72087386148474575</c:v>
                </c:pt>
                <c:pt idx="21">
                  <c:v>0.69750843932096973</c:v>
                </c:pt>
                <c:pt idx="22">
                  <c:v>0.67420322706305214</c:v>
                </c:pt>
                <c:pt idx="23">
                  <c:v>0.65105162192761434</c:v>
                </c:pt>
                <c:pt idx="24">
                  <c:v>0.62813631354919564</c:v>
                </c:pt>
                <c:pt idx="25">
                  <c:v>0.60552971744757467</c:v>
                </c:pt>
                <c:pt idx="26">
                  <c:v>0.58329450812554562</c:v>
                </c:pt>
                <c:pt idx="27">
                  <c:v>0.56148422064455572</c:v>
                </c:pt>
                <c:pt idx="28">
                  <c:v>0.54014389488089332</c:v>
                </c:pt>
                <c:pt idx="29">
                  <c:v>0.51931074139979472</c:v>
                </c:pt>
                <c:pt idx="30">
                  <c:v>0.49901481202915121</c:v>
                </c:pt>
                <c:pt idx="31">
                  <c:v>0.47927966180462583</c:v>
                </c:pt>
                <c:pt idx="32">
                  <c:v>0.4601229920348951</c:v>
                </c:pt>
                <c:pt idx="33">
                  <c:v>0.44155726684386321</c:v>
                </c:pt>
                <c:pt idx="34">
                  <c:v>0.4235902977319202</c:v>
                </c:pt>
                <c:pt idx="35">
                  <c:v>0.4062257925068673</c:v>
                </c:pt>
                <c:pt idx="36">
                  <c:v>0.38946386641192116</c:v>
                </c:pt>
                <c:pt idx="37">
                  <c:v>0.37330151446622861</c:v>
                </c:pt>
                <c:pt idx="38">
                  <c:v>0.35773304497254471</c:v>
                </c:pt>
                <c:pt idx="39">
                  <c:v>0.34275047487402643</c:v>
                </c:pt>
                <c:pt idx="40">
                  <c:v>0.32834388819073695</c:v>
                </c:pt>
                <c:pt idx="41">
                  <c:v>0.3145017591661417</c:v>
                </c:pt>
                <c:pt idx="42">
                  <c:v>0.30121124203081562</c:v>
                </c:pt>
                <c:pt idx="43">
                  <c:v>0.28845842946759725</c:v>
                </c:pt>
                <c:pt idx="44">
                  <c:v>0.27622858195917344</c:v>
                </c:pt>
                <c:pt idx="45">
                  <c:v>0.26450633023243536</c:v>
                </c:pt>
                <c:pt idx="46">
                  <c:v>0.25327585299801569</c:v>
                </c:pt>
                <c:pt idx="47">
                  <c:v>0.24252103213017481</c:v>
                </c:pt>
                <c:pt idx="48">
                  <c:v>0.23222558735142332</c:v>
                </c:pt>
                <c:pt idx="49">
                  <c:v>0.22237319238607181</c:v>
                </c:pt>
                <c:pt idx="50">
                  <c:v>0.2129475744338053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5DF-4DDA-8898-9A5D68691E96}"/>
            </c:ext>
          </c:extLst>
        </c:ser>
        <c:ser>
          <c:idx val="1"/>
          <c:order val="1"/>
          <c:tx>
            <c:strRef>
              <c:f>xlvi!$E$3</c:f>
              <c:strCache>
                <c:ptCount val="1"/>
                <c:pt idx="0">
                  <c:v>θ = 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xlvi!$D$6:$D$74</c:f>
              <c:numCache>
                <c:formatCode>0.000</c:formatCode>
                <c:ptCount val="69"/>
                <c:pt idx="2">
                  <c:v>3.5</c:v>
                </c:pt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</c:v>
                </c:pt>
                <c:pt idx="7">
                  <c:v>1.8</c:v>
                </c:pt>
                <c:pt idx="8">
                  <c:v>1.6</c:v>
                </c:pt>
                <c:pt idx="9">
                  <c:v>1.3</c:v>
                </c:pt>
                <c:pt idx="10">
                  <c:v>1.24</c:v>
                </c:pt>
                <c:pt idx="11">
                  <c:v>1.3</c:v>
                </c:pt>
                <c:pt idx="12">
                  <c:v>1.4</c:v>
                </c:pt>
                <c:pt idx="13">
                  <c:v>1.5</c:v>
                </c:pt>
                <c:pt idx="14">
                  <c:v>1.6</c:v>
                </c:pt>
                <c:pt idx="15">
                  <c:v>1.7</c:v>
                </c:pt>
                <c:pt idx="16">
                  <c:v>1.8</c:v>
                </c:pt>
                <c:pt idx="17">
                  <c:v>1.9</c:v>
                </c:pt>
                <c:pt idx="18">
                  <c:v>2</c:v>
                </c:pt>
                <c:pt idx="19">
                  <c:v>2.1</c:v>
                </c:pt>
                <c:pt idx="20">
                  <c:v>2.2000000000000002</c:v>
                </c:pt>
                <c:pt idx="21">
                  <c:v>2.2999999999999998</c:v>
                </c:pt>
                <c:pt idx="22">
                  <c:v>2.4</c:v>
                </c:pt>
                <c:pt idx="23">
                  <c:v>2.5</c:v>
                </c:pt>
                <c:pt idx="24">
                  <c:v>2.6</c:v>
                </c:pt>
                <c:pt idx="25">
                  <c:v>2.7</c:v>
                </c:pt>
                <c:pt idx="26">
                  <c:v>2.8</c:v>
                </c:pt>
                <c:pt idx="27">
                  <c:v>2.9</c:v>
                </c:pt>
                <c:pt idx="28">
                  <c:v>3</c:v>
                </c:pt>
                <c:pt idx="29">
                  <c:v>3.1</c:v>
                </c:pt>
                <c:pt idx="30">
                  <c:v>3.2</c:v>
                </c:pt>
                <c:pt idx="31">
                  <c:v>3.3</c:v>
                </c:pt>
                <c:pt idx="32">
                  <c:v>3.4</c:v>
                </c:pt>
                <c:pt idx="33">
                  <c:v>3.5</c:v>
                </c:pt>
              </c:numCache>
            </c:numRef>
          </c:xVal>
          <c:yVal>
            <c:numRef>
              <c:f>xlvi!$E$6:$E$74</c:f>
              <c:numCache>
                <c:formatCode>0.0000</c:formatCode>
                <c:ptCount val="69"/>
                <c:pt idx="2">
                  <c:v>0.99199999999999999</c:v>
                </c:pt>
                <c:pt idx="3">
                  <c:v>0.99199999999999999</c:v>
                </c:pt>
                <c:pt idx="4">
                  <c:v>0.99480000000000002</c:v>
                </c:pt>
                <c:pt idx="5">
                  <c:v>0.997</c:v>
                </c:pt>
                <c:pt idx="6">
                  <c:v>0.99860000000000004</c:v>
                </c:pt>
                <c:pt idx="7">
                  <c:v>0.999</c:v>
                </c:pt>
                <c:pt idx="8">
                  <c:v>0.99909999999999999</c:v>
                </c:pt>
                <c:pt idx="9">
                  <c:v>0.99860000000000004</c:v>
                </c:pt>
                <c:pt idx="10">
                  <c:v>0.99529999999999996</c:v>
                </c:pt>
                <c:pt idx="11">
                  <c:v>0.98199999999999998</c:v>
                </c:pt>
                <c:pt idx="12">
                  <c:v>0.96099999999999997</c:v>
                </c:pt>
                <c:pt idx="13">
                  <c:v>0.93097323536631904</c:v>
                </c:pt>
                <c:pt idx="14">
                  <c:v>0.89668953855954769</c:v>
                </c:pt>
                <c:pt idx="15">
                  <c:v>0.85748419479104809</c:v>
                </c:pt>
                <c:pt idx="16">
                  <c:v>0.81468275132784285</c:v>
                </c:pt>
                <c:pt idx="17">
                  <c:v>0.76954852360491333</c:v>
                </c:pt>
                <c:pt idx="18">
                  <c:v>0.72321447596145572</c:v>
                </c:pt>
                <c:pt idx="19">
                  <c:v>0.67664948152984683</c:v>
                </c:pt>
                <c:pt idx="20">
                  <c:v>0.63064814286359361</c:v>
                </c:pt>
                <c:pt idx="21">
                  <c:v>0.58583596022247098</c:v>
                </c:pt>
                <c:pt idx="22">
                  <c:v>0.54268371015872352</c:v>
                </c:pt>
                <c:pt idx="23">
                  <c:v>0.50152659551146428</c:v>
                </c:pt>
                <c:pt idx="24">
                  <c:v>0.46258509546384113</c:v>
                </c:pt>
                <c:pt idx="25">
                  <c:v>0.42598550959557474</c:v>
                </c:pt>
                <c:pt idx="26">
                  <c:v>0.39177898764171454</c:v>
                </c:pt>
                <c:pt idx="27">
                  <c:v>0.3599584090233614</c:v>
                </c:pt>
                <c:pt idx="28">
                  <c:v>0.33047286769050638</c:v>
                </c:pt>
                <c:pt idx="29">
                  <c:v>0.3032397706324319</c:v>
                </c:pt>
                <c:pt idx="30">
                  <c:v>0.27815470942422532</c:v>
                </c:pt>
                <c:pt idx="31">
                  <c:v>0.25509934359305275</c:v>
                </c:pt>
                <c:pt idx="32">
                  <c:v>0.23394756592546659</c:v>
                </c:pt>
                <c:pt idx="33">
                  <c:v>0.21457022062792372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5DF-4DDA-8898-9A5D68691E96}"/>
            </c:ext>
          </c:extLst>
        </c:ser>
        <c:ser>
          <c:idx val="2"/>
          <c:order val="2"/>
          <c:tx>
            <c:strRef>
              <c:f>xlvi!$G$3</c:f>
              <c:strCache>
                <c:ptCount val="1"/>
                <c:pt idx="0">
                  <c:v>θ = 10°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xlvi!$F$6:$F$56</c:f>
              <c:numCache>
                <c:formatCode>0.000</c:formatCode>
                <c:ptCount val="51"/>
                <c:pt idx="2">
                  <c:v>3.5</c:v>
                </c:pt>
                <c:pt idx="3">
                  <c:v>3</c:v>
                </c:pt>
                <c:pt idx="4">
                  <c:v>2.5</c:v>
                </c:pt>
                <c:pt idx="5">
                  <c:v>2</c:v>
                </c:pt>
                <c:pt idx="6">
                  <c:v>1.8</c:v>
                </c:pt>
                <c:pt idx="7">
                  <c:v>1.6</c:v>
                </c:pt>
                <c:pt idx="8">
                  <c:v>1.47</c:v>
                </c:pt>
                <c:pt idx="9">
                  <c:v>1.42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xlvi!$G$6:$G$56</c:f>
              <c:numCache>
                <c:formatCode>0.0000</c:formatCode>
                <c:ptCount val="51"/>
                <c:pt idx="2">
                  <c:v>0.94699999999999995</c:v>
                </c:pt>
                <c:pt idx="3">
                  <c:v>0.96299999999999997</c:v>
                </c:pt>
                <c:pt idx="4">
                  <c:v>0.97599999999999998</c:v>
                </c:pt>
                <c:pt idx="5">
                  <c:v>0.98509999999999998</c:v>
                </c:pt>
                <c:pt idx="6">
                  <c:v>0.98719999999999997</c:v>
                </c:pt>
                <c:pt idx="7">
                  <c:v>0.98839999999999995</c:v>
                </c:pt>
                <c:pt idx="8">
                  <c:v>0.98670000000000002</c:v>
                </c:pt>
                <c:pt idx="9">
                  <c:v>0.97499999999999998</c:v>
                </c:pt>
                <c:pt idx="10">
                  <c:v>0.94299999999999995</c:v>
                </c:pt>
                <c:pt idx="11">
                  <c:v>0.90639999999999998</c:v>
                </c:pt>
                <c:pt idx="12">
                  <c:v>0.86599999999999999</c:v>
                </c:pt>
                <c:pt idx="13">
                  <c:v>0.82199999999999995</c:v>
                </c:pt>
                <c:pt idx="14">
                  <c:v>0.77271704449629175</c:v>
                </c:pt>
                <c:pt idx="15">
                  <c:v>0.72660209482121385</c:v>
                </c:pt>
                <c:pt idx="16">
                  <c:v>0.68019385655875653</c:v>
                </c:pt>
                <c:pt idx="17">
                  <c:v>0.63429111067139099</c:v>
                </c:pt>
                <c:pt idx="18">
                  <c:v>0.5895251960035558</c:v>
                </c:pt>
                <c:pt idx="19">
                  <c:v>0.54637360468298235</c:v>
                </c:pt>
                <c:pt idx="20">
                  <c:v>0.50517853734810947</c:v>
                </c:pt>
                <c:pt idx="21">
                  <c:v>0.46616732721433957</c:v>
                </c:pt>
                <c:pt idx="22">
                  <c:v>0.4294726999735734</c:v>
                </c:pt>
                <c:pt idx="23">
                  <c:v>0.39515163240801376</c:v>
                </c:pt>
                <c:pt idx="24">
                  <c:v>0.36320214652323718</c:v>
                </c:pt>
                <c:pt idx="25">
                  <c:v>0.33357777092578467</c:v>
                </c:pt>
                <c:pt idx="26">
                  <c:v>0.30619965817406303</c:v>
                </c:pt>
                <c:pt idx="27">
                  <c:v>0.2809665020476706</c:v>
                </c:pt>
                <c:pt idx="28">
                  <c:v>0.25776248190390483</c:v>
                </c:pt>
                <c:pt idx="29">
                  <c:v>0.23646349585475601</c:v>
                </c:pt>
                <c:pt idx="30">
                  <c:v>0.21694194788937024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5DF-4DDA-8898-9A5D68691E96}"/>
            </c:ext>
          </c:extLst>
        </c:ser>
        <c:ser>
          <c:idx val="3"/>
          <c:order val="3"/>
          <c:tx>
            <c:strRef>
              <c:f>xlvi!$I$3</c:f>
              <c:strCache>
                <c:ptCount val="1"/>
                <c:pt idx="0">
                  <c:v>θ = 15°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xlvi!$H$6:$H$56</c:f>
              <c:numCache>
                <c:formatCode>0.000</c:formatCode>
                <c:ptCount val="51"/>
                <c:pt idx="3">
                  <c:v>3.5</c:v>
                </c:pt>
                <c:pt idx="4">
                  <c:v>3</c:v>
                </c:pt>
                <c:pt idx="5">
                  <c:v>2.5</c:v>
                </c:pt>
                <c:pt idx="6">
                  <c:v>2.25</c:v>
                </c:pt>
                <c:pt idx="7">
                  <c:v>2</c:v>
                </c:pt>
                <c:pt idx="8">
                  <c:v>1.8</c:v>
                </c:pt>
                <c:pt idx="9">
                  <c:v>1.68</c:v>
                </c:pt>
                <c:pt idx="10">
                  <c:v>1.615</c:v>
                </c:pt>
                <c:pt idx="11">
                  <c:v>1.65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xlvi!$I$6:$I$56</c:f>
              <c:numCache>
                <c:formatCode>0.0000</c:formatCode>
                <c:ptCount val="51"/>
                <c:pt idx="3">
                  <c:v>0.85299999999999998</c:v>
                </c:pt>
                <c:pt idx="4">
                  <c:v>0.89549999999999996</c:v>
                </c:pt>
                <c:pt idx="5">
                  <c:v>0.92900000000000005</c:v>
                </c:pt>
                <c:pt idx="6">
                  <c:v>0.9425</c:v>
                </c:pt>
                <c:pt idx="7">
                  <c:v>0.95299999999999996</c:v>
                </c:pt>
                <c:pt idx="8">
                  <c:v>0.95730000000000004</c:v>
                </c:pt>
                <c:pt idx="9">
                  <c:v>0.95499999999999996</c:v>
                </c:pt>
                <c:pt idx="10">
                  <c:v>0.94</c:v>
                </c:pt>
                <c:pt idx="11">
                  <c:v>0.90900000000000003</c:v>
                </c:pt>
                <c:pt idx="12">
                  <c:v>0.88300000000000001</c:v>
                </c:pt>
                <c:pt idx="13">
                  <c:v>0.83499999999999996</c:v>
                </c:pt>
                <c:pt idx="14">
                  <c:v>0.78600000000000003</c:v>
                </c:pt>
                <c:pt idx="15">
                  <c:v>0.73699999999999999</c:v>
                </c:pt>
                <c:pt idx="16">
                  <c:v>0.68899999999999995</c:v>
                </c:pt>
                <c:pt idx="17">
                  <c:v>0.63954414111559987</c:v>
                </c:pt>
                <c:pt idx="18">
                  <c:v>0.59485187765508241</c:v>
                </c:pt>
                <c:pt idx="19">
                  <c:v>0.55170761073228358</c:v>
                </c:pt>
                <c:pt idx="20">
                  <c:v>0.51046350829404075</c:v>
                </c:pt>
                <c:pt idx="21">
                  <c:v>0.471356720670987</c:v>
                </c:pt>
                <c:pt idx="22">
                  <c:v>0.43452921921018928</c:v>
                </c:pt>
                <c:pt idx="23">
                  <c:v>0.4000463970508964</c:v>
                </c:pt>
                <c:pt idx="24">
                  <c:v>0.36791373024646179</c:v>
                </c:pt>
                <c:pt idx="25">
                  <c:v>0.33809119695554091</c:v>
                </c:pt>
                <c:pt idx="26">
                  <c:v>0.31050541521127234</c:v>
                </c:pt>
                <c:pt idx="27">
                  <c:v>0.28505962089186293</c:v>
                </c:pt>
                <c:pt idx="28">
                  <c:v>0.2616416961413689</c:v>
                </c:pt>
                <c:pt idx="29">
                  <c:v>0.2401304976683529</c:v>
                </c:pt>
                <c:pt idx="30">
                  <c:v>0.22040074148669114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5DF-4DDA-8898-9A5D68691E96}"/>
            </c:ext>
          </c:extLst>
        </c:ser>
        <c:ser>
          <c:idx val="4"/>
          <c:order val="4"/>
          <c:tx>
            <c:strRef>
              <c:f>xlvi!$K$3</c:f>
              <c:strCache>
                <c:ptCount val="1"/>
                <c:pt idx="0">
                  <c:v>θ = 20°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6"/>
            <c:marker>
              <c:symbol val="none"/>
            </c:marker>
            <c:bubble3D val="0"/>
            <c:spPr>
              <a:ln w="15875" cap="rnd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3391-4A54-B148-221C4E4D2299}"/>
              </c:ext>
            </c:extLst>
          </c:dPt>
          <c:xVal>
            <c:numRef>
              <c:f>xlvi!$J$6:$J$56</c:f>
              <c:numCache>
                <c:formatCode>0.000</c:formatCode>
                <c:ptCount val="51"/>
                <c:pt idx="5">
                  <c:v>3.5</c:v>
                </c:pt>
                <c:pt idx="6">
                  <c:v>3</c:v>
                </c:pt>
                <c:pt idx="7">
                  <c:v>2.5</c:v>
                </c:pt>
                <c:pt idx="8">
                  <c:v>2.2999999999999998</c:v>
                </c:pt>
                <c:pt idx="9">
                  <c:v>2.2000000000000002</c:v>
                </c:pt>
                <c:pt idx="10">
                  <c:v>2.1</c:v>
                </c:pt>
                <c:pt idx="11">
                  <c:v>2</c:v>
                </c:pt>
                <c:pt idx="12">
                  <c:v>1.875</c:v>
                </c:pt>
                <c:pt idx="13">
                  <c:v>1.8380000000000001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xlvi!$K$6:$K$56</c:f>
              <c:numCache>
                <c:formatCode>0.0000</c:formatCode>
                <c:ptCount val="51"/>
                <c:pt idx="5">
                  <c:v>0.72799999999999998</c:v>
                </c:pt>
                <c:pt idx="6">
                  <c:v>0.79700000000000004</c:v>
                </c:pt>
                <c:pt idx="7">
                  <c:v>0.85499999999999998</c:v>
                </c:pt>
                <c:pt idx="8">
                  <c:v>0.874</c:v>
                </c:pt>
                <c:pt idx="9">
                  <c:v>0.88200000000000001</c:v>
                </c:pt>
                <c:pt idx="10">
                  <c:v>0.88900000000000001</c:v>
                </c:pt>
                <c:pt idx="11">
                  <c:v>0.89280000000000004</c:v>
                </c:pt>
                <c:pt idx="12">
                  <c:v>0.89</c:v>
                </c:pt>
                <c:pt idx="13">
                  <c:v>0.86899999999999999</c:v>
                </c:pt>
                <c:pt idx="14">
                  <c:v>0.81299999999999994</c:v>
                </c:pt>
                <c:pt idx="15">
                  <c:v>0.75600000000000001</c:v>
                </c:pt>
                <c:pt idx="16">
                  <c:v>0.70199999999999996</c:v>
                </c:pt>
                <c:pt idx="17">
                  <c:v>0.65100000000000002</c:v>
                </c:pt>
                <c:pt idx="18">
                  <c:v>0.60299999999999998</c:v>
                </c:pt>
                <c:pt idx="19">
                  <c:v>0.55679831860296347</c:v>
                </c:pt>
                <c:pt idx="20">
                  <c:v>0.51551387521716441</c:v>
                </c:pt>
                <c:pt idx="21">
                  <c:v>0.47632163636926</c:v>
                </c:pt>
                <c:pt idx="22">
                  <c:v>0.43937234568894878</c:v>
                </c:pt>
                <c:pt idx="23">
                  <c:v>0.40473941800707208</c:v>
                </c:pt>
                <c:pt idx="24">
                  <c:v>0.37243546307410436</c:v>
                </c:pt>
                <c:pt idx="25">
                  <c:v>0.34242665539444356</c:v>
                </c:pt>
                <c:pt idx="26">
                  <c:v>0.31464488394076012</c:v>
                </c:pt>
                <c:pt idx="27">
                  <c:v>0.28899778205713644</c:v>
                </c:pt>
                <c:pt idx="28">
                  <c:v>0.26537683152192743</c:v>
                </c:pt>
                <c:pt idx="29">
                  <c:v>0.24366377826453306</c:v>
                </c:pt>
                <c:pt idx="30">
                  <c:v>0.22373560792157701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91-4A54-B148-221C4E4D2299}"/>
            </c:ext>
          </c:extLst>
        </c:ser>
        <c:ser>
          <c:idx val="5"/>
          <c:order val="5"/>
          <c:tx>
            <c:strRef>
              <c:f>xlvi!$M$3</c:f>
              <c:strCache>
                <c:ptCount val="1"/>
                <c:pt idx="0">
                  <c:v>θ = 25°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xlvi!$L$6:$L$56</c:f>
              <c:numCache>
                <c:formatCode>0.000</c:formatCode>
                <c:ptCount val="51"/>
                <c:pt idx="7">
                  <c:v>3.5</c:v>
                </c:pt>
                <c:pt idx="8">
                  <c:v>3.1</c:v>
                </c:pt>
                <c:pt idx="9">
                  <c:v>2.8</c:v>
                </c:pt>
                <c:pt idx="10">
                  <c:v>2.5</c:v>
                </c:pt>
                <c:pt idx="11">
                  <c:v>2.4</c:v>
                </c:pt>
                <c:pt idx="12">
                  <c:v>2.2999999999999998</c:v>
                </c:pt>
                <c:pt idx="13">
                  <c:v>2.21</c:v>
                </c:pt>
                <c:pt idx="14">
                  <c:v>2.15</c:v>
                </c:pt>
                <c:pt idx="15">
                  <c:v>2.1259999999999999</c:v>
                </c:pt>
                <c:pt idx="16">
                  <c:v>2.15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xlvi!$M$6:$M$56</c:f>
              <c:numCache>
                <c:formatCode>0.0000</c:formatCode>
                <c:ptCount val="51"/>
                <c:pt idx="7">
                  <c:v>0.59150000000000003</c:v>
                </c:pt>
                <c:pt idx="8">
                  <c:v>0.66149999999999998</c:v>
                </c:pt>
                <c:pt idx="9">
                  <c:v>0.71199999999999997</c:v>
                </c:pt>
                <c:pt idx="10">
                  <c:v>0.75649999999999995</c:v>
                </c:pt>
                <c:pt idx="11">
                  <c:v>0.76880000000000004</c:v>
                </c:pt>
                <c:pt idx="12">
                  <c:v>0.77900000000000003</c:v>
                </c:pt>
                <c:pt idx="13">
                  <c:v>0.78300000000000003</c:v>
                </c:pt>
                <c:pt idx="14">
                  <c:v>0.77800000000000002</c:v>
                </c:pt>
                <c:pt idx="15">
                  <c:v>0.75900000000000001</c:v>
                </c:pt>
                <c:pt idx="16">
                  <c:v>0.72199999999999998</c:v>
                </c:pt>
                <c:pt idx="17">
                  <c:v>0.68600000000000005</c:v>
                </c:pt>
                <c:pt idx="18">
                  <c:v>0.627</c:v>
                </c:pt>
                <c:pt idx="19">
                  <c:v>0.57599999999999996</c:v>
                </c:pt>
                <c:pt idx="20">
                  <c:v>0.52900000000000003</c:v>
                </c:pt>
                <c:pt idx="21">
                  <c:v>0.48599999999999999</c:v>
                </c:pt>
                <c:pt idx="22">
                  <c:v>0.44700000000000001</c:v>
                </c:pt>
                <c:pt idx="23">
                  <c:v>0.41033107953838149</c:v>
                </c:pt>
                <c:pt idx="24">
                  <c:v>0.37782859158380155</c:v>
                </c:pt>
                <c:pt idx="25">
                  <c:v>0.34760260361838224</c:v>
                </c:pt>
                <c:pt idx="26">
                  <c:v>0.31959132110282829</c:v>
                </c:pt>
                <c:pt idx="27">
                  <c:v>0.29370766877237847</c:v>
                </c:pt>
                <c:pt idx="28">
                  <c:v>0.26984747848186424</c:v>
                </c:pt>
                <c:pt idx="29">
                  <c:v>0.24789600420801144</c:v>
                </c:pt>
                <c:pt idx="30">
                  <c:v>0.22773300220591197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FD-485D-972B-17E40096D1D1}"/>
            </c:ext>
          </c:extLst>
        </c:ser>
        <c:ser>
          <c:idx val="6"/>
          <c:order val="6"/>
          <c:tx>
            <c:strRef>
              <c:f>xlvi!$O$3</c:f>
              <c:strCache>
                <c:ptCount val="1"/>
                <c:pt idx="0">
                  <c:v>θ = 30°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xlvi!$N$6:$N$56</c:f>
              <c:numCache>
                <c:formatCode>0.000</c:formatCode>
                <c:ptCount val="51"/>
                <c:pt idx="13">
                  <c:v>3.5</c:v>
                </c:pt>
                <c:pt idx="14">
                  <c:v>3.3</c:v>
                </c:pt>
                <c:pt idx="15">
                  <c:v>3.1</c:v>
                </c:pt>
                <c:pt idx="16">
                  <c:v>2.9</c:v>
                </c:pt>
                <c:pt idx="17">
                  <c:v>2.7</c:v>
                </c:pt>
                <c:pt idx="18">
                  <c:v>2.5649999999999999</c:v>
                </c:pt>
                <c:pt idx="19">
                  <c:v>2.516</c:v>
                </c:pt>
                <c:pt idx="20">
                  <c:v>2.5499999999999998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xlvi!$O$6:$O$56</c:f>
              <c:numCache>
                <c:formatCode>0.0000</c:formatCode>
                <c:ptCount val="51"/>
                <c:pt idx="13">
                  <c:v>0.46500000000000002</c:v>
                </c:pt>
                <c:pt idx="14">
                  <c:v>0.5</c:v>
                </c:pt>
                <c:pt idx="15">
                  <c:v>0.53700000000000003</c:v>
                </c:pt>
                <c:pt idx="16">
                  <c:v>0.57250000000000001</c:v>
                </c:pt>
                <c:pt idx="17">
                  <c:v>0.60299999999999998</c:v>
                </c:pt>
                <c:pt idx="18">
                  <c:v>0.61199999999999999</c:v>
                </c:pt>
                <c:pt idx="19">
                  <c:v>0.59350000000000003</c:v>
                </c:pt>
                <c:pt idx="20">
                  <c:v>0.55400000000000005</c:v>
                </c:pt>
                <c:pt idx="21">
                  <c:v>0.52200000000000002</c:v>
                </c:pt>
                <c:pt idx="22">
                  <c:v>0.47199999999999998</c:v>
                </c:pt>
                <c:pt idx="23">
                  <c:v>0.42899999999999999</c:v>
                </c:pt>
                <c:pt idx="24">
                  <c:v>0.39100000000000001</c:v>
                </c:pt>
                <c:pt idx="25">
                  <c:v>0.35730000000000001</c:v>
                </c:pt>
                <c:pt idx="26">
                  <c:v>0.32749282829008969</c:v>
                </c:pt>
                <c:pt idx="27">
                  <c:v>0.30124032311619603</c:v>
                </c:pt>
                <c:pt idx="28">
                  <c:v>0.27700556840957719</c:v>
                </c:pt>
                <c:pt idx="29">
                  <c:v>0.25467954157828859</c:v>
                </c:pt>
                <c:pt idx="30">
                  <c:v>0.23414655206576382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FD-485D-972B-17E40096D1D1}"/>
            </c:ext>
          </c:extLst>
        </c:ser>
        <c:ser>
          <c:idx val="7"/>
          <c:order val="7"/>
          <c:tx>
            <c:strRef>
              <c:f>xlvi!$Q$3</c:f>
              <c:strCache>
                <c:ptCount val="1"/>
                <c:pt idx="0">
                  <c:v>θ = 35°</c:v>
                </c:pt>
              </c:strCache>
            </c:strRef>
          </c:tx>
          <c:spPr>
            <a:ln w="158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xlvi!$P$6:$P$56</c:f>
              <c:numCache>
                <c:formatCode>0.000</c:formatCode>
                <c:ptCount val="51"/>
                <c:pt idx="22">
                  <c:v>3.5</c:v>
                </c:pt>
                <c:pt idx="23">
                  <c:v>3.3</c:v>
                </c:pt>
                <c:pt idx="24">
                  <c:v>3.18</c:v>
                </c:pt>
                <c:pt idx="25">
                  <c:v>3.1379999999999999</c:v>
                </c:pt>
                <c:pt idx="26">
                  <c:v>3.15</c:v>
                </c:pt>
                <c:pt idx="27">
                  <c:v>3.2</c:v>
                </c:pt>
                <c:pt idx="28">
                  <c:v>3.3</c:v>
                </c:pt>
                <c:pt idx="29">
                  <c:v>3.4</c:v>
                </c:pt>
                <c:pt idx="30">
                  <c:v>3.5</c:v>
                </c:pt>
              </c:numCache>
            </c:numRef>
          </c:xVal>
          <c:yVal>
            <c:numRef>
              <c:f>xlvi!$Q$6:$Q$56</c:f>
              <c:numCache>
                <c:formatCode>0.0000</c:formatCode>
                <c:ptCount val="51"/>
                <c:pt idx="22">
                  <c:v>0.34599999999999997</c:v>
                </c:pt>
                <c:pt idx="23">
                  <c:v>0.372</c:v>
                </c:pt>
                <c:pt idx="24">
                  <c:v>0.3805</c:v>
                </c:pt>
                <c:pt idx="25">
                  <c:v>0.373</c:v>
                </c:pt>
                <c:pt idx="26">
                  <c:v>0.35699999999999998</c:v>
                </c:pt>
                <c:pt idx="27">
                  <c:v>0.33200000000000002</c:v>
                </c:pt>
                <c:pt idx="28">
                  <c:v>0.29799999999999999</c:v>
                </c:pt>
                <c:pt idx="29">
                  <c:v>0.27</c:v>
                </c:pt>
                <c:pt idx="30">
                  <c:v>0.24627140920000326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FD-485D-972B-17E40096D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3764384"/>
        <c:axId val="1903764864"/>
      </c:scatterChart>
      <c:valAx>
        <c:axId val="1903764384"/>
        <c:scaling>
          <c:orientation val="minMax"/>
          <c:max val="3.5"/>
          <c:min val="1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CMU Serif" panose="02000603000000000000" pitchFamily="2" charset="0"/>
                    <a:ea typeface="CMU Serif" panose="02000603000000000000" pitchFamily="2" charset="0"/>
                    <a:cs typeface="CMU Serif" panose="02000603000000000000" pitchFamily="2" charset="0"/>
                  </a:defRPr>
                </a:pPr>
                <a:r>
                  <a:rPr lang="de-DE">
                    <a:solidFill>
                      <a:sysClr val="windowText" lastClr="000000"/>
                    </a:solidFill>
                  </a:rPr>
                  <a:t>Diagramm xlvi                                                    Ma</a:t>
                </a:r>
                <a:r>
                  <a:rPr lang="de-DE" baseline="-25000">
                    <a:solidFill>
                      <a:sysClr val="windowText" lastClr="000000"/>
                    </a:solidFill>
                  </a:rPr>
                  <a:t>1</a:t>
                </a:r>
                <a:r>
                  <a:rPr lang="de-DE" i="1">
                    <a:solidFill>
                      <a:sysClr val="windowText" lastClr="000000"/>
                    </a:solidFill>
                  </a:rPr>
                  <a:t> 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[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-</a:t>
                </a:r>
                <a:r>
                  <a:rPr lang="de-DE" sz="500" i="0">
                    <a:solidFill>
                      <a:sysClr val="windowText" lastClr="000000"/>
                    </a:solidFill>
                  </a:rPr>
                  <a:t> </a:t>
                </a:r>
                <a:r>
                  <a:rPr lang="de-DE" i="0">
                    <a:solidFill>
                      <a:sysClr val="windowText" lastClr="000000"/>
                    </a:solidFill>
                  </a:rPr>
                  <a:t>]</a:t>
                </a:r>
              </a:p>
            </c:rich>
          </c:tx>
          <c:layout>
            <c:manualLayout>
              <c:xMode val="edge"/>
              <c:yMode val="edge"/>
              <c:x val="2.1526300317190154E-2"/>
              <c:y val="0.96747213521891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defRPr>
              </a:pPr>
              <a:endParaRPr lang="de-DE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864"/>
        <c:crosses val="autoZero"/>
        <c:crossBetween val="midCat"/>
        <c:majorUnit val="0.2"/>
        <c:minorUnit val="5.000000000000001E-2"/>
      </c:valAx>
      <c:valAx>
        <c:axId val="1903764864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defRPr>
            </a:pPr>
            <a:endParaRPr lang="de-DE"/>
          </a:p>
        </c:txPr>
        <c:crossAx val="1903764384"/>
        <c:crosses val="autoZero"/>
        <c:crossBetween val="midCat"/>
        <c:majorUnit val="2.0000000000000004E-2"/>
        <c:min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rnd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latin typeface="CMU Serif" panose="02000603000000000000" pitchFamily="2" charset="0"/>
          <a:ea typeface="CMU Serif" panose="02000603000000000000" pitchFamily="2" charset="0"/>
          <a:cs typeface="CMU Serif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1051</xdr:colOff>
      <xdr:row>1</xdr:row>
      <xdr:rowOff>0</xdr:rowOff>
    </xdr:from>
    <xdr:to>
      <xdr:col>14</xdr:col>
      <xdr:colOff>259080</xdr:colOff>
      <xdr:row>34</xdr:row>
      <xdr:rowOff>1172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1A104FA3-8F42-B7C9-6170-7C09F8D1F99A}"/>
            </a:ext>
          </a:extLst>
        </xdr:cNvPr>
        <xdr:cNvGrpSpPr/>
      </xdr:nvGrpSpPr>
      <xdr:grpSpPr>
        <a:xfrm>
          <a:off x="6415103" y="198783"/>
          <a:ext cx="5028812" cy="6560998"/>
          <a:chOff x="6388788" y="200297"/>
          <a:chExt cx="5012909" cy="6610978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07DA353E-1DEA-FC77-8627-90B32EF56575}"/>
              </a:ext>
            </a:extLst>
          </xdr:cNvPr>
          <xdr:cNvGraphicFramePr/>
        </xdr:nvGraphicFramePr>
        <xdr:xfrm>
          <a:off x="6388788" y="200297"/>
          <a:ext cx="5012909" cy="661097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25" name="Gruppieren 24">
            <a:extLst>
              <a:ext uri="{FF2B5EF4-FFF2-40B4-BE49-F238E27FC236}">
                <a16:creationId xmlns:a16="http://schemas.microsoft.com/office/drawing/2014/main" id="{EF988B9B-3B7D-026A-AFD0-C0E1EF7B3404}"/>
              </a:ext>
            </a:extLst>
          </xdr:cNvPr>
          <xdr:cNvGrpSpPr/>
        </xdr:nvGrpSpPr>
        <xdr:grpSpPr>
          <a:xfrm>
            <a:off x="7787228" y="366536"/>
            <a:ext cx="1275085" cy="1443285"/>
            <a:chOff x="7540486" y="613998"/>
            <a:chExt cx="1211734" cy="1431234"/>
          </a:xfrm>
        </xdr:grpSpPr>
        <xdr:sp macro="" textlink="">
          <xdr:nvSpPr>
            <xdr:cNvPr id="24" name="Rechteck: abgerundete Ecken 23">
              <a:extLst>
                <a:ext uri="{FF2B5EF4-FFF2-40B4-BE49-F238E27FC236}">
                  <a16:creationId xmlns:a16="http://schemas.microsoft.com/office/drawing/2014/main" id="{CEDF0709-846A-B86C-9190-A5B640B102D1}"/>
                </a:ext>
              </a:extLst>
            </xdr:cNvPr>
            <xdr:cNvSpPr/>
          </xdr:nvSpPr>
          <xdr:spPr>
            <a:xfrm>
              <a:off x="7540486" y="1119809"/>
              <a:ext cx="705907" cy="24473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de-DE" sz="1100"/>
            </a:p>
          </xdr:txBody>
        </xdr:sp>
        <xdr:sp macro="" textlink="">
          <xdr:nvSpPr>
            <xdr:cNvPr id="23" name="Textfeld 22">
              <a:extLst>
                <a:ext uri="{FF2B5EF4-FFF2-40B4-BE49-F238E27FC236}">
                  <a16:creationId xmlns:a16="http://schemas.microsoft.com/office/drawing/2014/main" id="{F4CD9056-BBAD-CAE3-811F-4DC263787A05}"/>
                </a:ext>
              </a:extLst>
            </xdr:cNvPr>
            <xdr:cNvSpPr txBox="1"/>
          </xdr:nvSpPr>
          <xdr:spPr>
            <a:xfrm>
              <a:off x="7546272" y="613998"/>
              <a:ext cx="1205948" cy="14312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de-DE" sz="1400" i="1"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κ</a:t>
              </a:r>
              <a:r>
                <a:rPr lang="de-DE" sz="1400"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 = 1,4</a:t>
              </a:r>
            </a:p>
          </xdr:txBody>
        </xdr:sp>
      </xdr:grpSp>
      <xdr:sp macro="" textlink="">
        <xdr:nvSpPr>
          <xdr:cNvPr id="47" name="Rechteck: abgerundete Ecken 46">
            <a:extLst>
              <a:ext uri="{FF2B5EF4-FFF2-40B4-BE49-F238E27FC236}">
                <a16:creationId xmlns:a16="http://schemas.microsoft.com/office/drawing/2014/main" id="{0B0B5F85-2B9B-4D96-15EC-1D639ED260D0}"/>
              </a:ext>
            </a:extLst>
          </xdr:cNvPr>
          <xdr:cNvSpPr/>
        </xdr:nvSpPr>
        <xdr:spPr>
          <a:xfrm>
            <a:off x="9469540" y="5434403"/>
            <a:ext cx="352314" cy="431736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46" name="Gruppieren 45">
            <a:extLst>
              <a:ext uri="{FF2B5EF4-FFF2-40B4-BE49-F238E27FC236}">
                <a16:creationId xmlns:a16="http://schemas.microsoft.com/office/drawing/2014/main" id="{5591A179-C118-332C-8553-4167C85732CE}"/>
              </a:ext>
            </a:extLst>
          </xdr:cNvPr>
          <xdr:cNvGrpSpPr/>
        </xdr:nvGrpSpPr>
        <xdr:grpSpPr>
          <a:xfrm>
            <a:off x="9408926" y="5406941"/>
            <a:ext cx="475206" cy="432526"/>
            <a:chOff x="12266182" y="5522497"/>
            <a:chExt cx="453189" cy="421103"/>
          </a:xfrm>
        </xdr:grpSpPr>
        <xdr:sp macro="" textlink="">
          <xdr:nvSpPr>
            <xdr:cNvPr id="41" name="Textfeld 40">
              <a:extLst>
                <a:ext uri="{FF2B5EF4-FFF2-40B4-BE49-F238E27FC236}">
                  <a16:creationId xmlns:a16="http://schemas.microsoft.com/office/drawing/2014/main" id="{B91AAF09-3B5F-1BB0-C6E1-628D80A9C1E6}"/>
                </a:ext>
              </a:extLst>
            </xdr:cNvPr>
            <xdr:cNvSpPr txBox="1"/>
          </xdr:nvSpPr>
          <xdr:spPr>
            <a:xfrm>
              <a:off x="12266182" y="5731041"/>
              <a:ext cx="453189" cy="2125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8E4000"/>
                  </a:solidFill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ρ</a:t>
              </a:r>
              <a:r>
                <a:rPr lang="de-DE" sz="1400" baseline="-25000">
                  <a:solidFill>
                    <a:srgbClr val="8E4000"/>
                  </a:solidFill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0</a:t>
              </a:r>
            </a:p>
          </xdr:txBody>
        </xdr:sp>
        <xdr:cxnSp macro="">
          <xdr:nvCxnSpPr>
            <xdr:cNvPr id="42" name="Gerader Verbinder 41">
              <a:extLst>
                <a:ext uri="{FF2B5EF4-FFF2-40B4-BE49-F238E27FC236}">
                  <a16:creationId xmlns:a16="http://schemas.microsoft.com/office/drawing/2014/main" id="{7FEEB16D-D46D-DC25-1FD2-778A41545B39}"/>
                </a:ext>
              </a:extLst>
            </xdr:cNvPr>
            <xdr:cNvCxnSpPr/>
          </xdr:nvCxnSpPr>
          <xdr:spPr>
            <a:xfrm>
              <a:off x="12381626" y="5762287"/>
              <a:ext cx="215437" cy="0"/>
            </a:xfrm>
            <a:prstGeom prst="line">
              <a:avLst/>
            </a:prstGeom>
            <a:ln w="9525">
              <a:solidFill>
                <a:srgbClr val="8E4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4" name="Textfeld 43">
              <a:extLst>
                <a:ext uri="{FF2B5EF4-FFF2-40B4-BE49-F238E27FC236}">
                  <a16:creationId xmlns:a16="http://schemas.microsoft.com/office/drawing/2014/main" id="{D92C47FA-D50D-4E3E-A773-BB04C3A5C033}"/>
                </a:ext>
              </a:extLst>
            </xdr:cNvPr>
            <xdr:cNvSpPr txBox="1"/>
          </xdr:nvSpPr>
          <xdr:spPr>
            <a:xfrm>
              <a:off x="12266182" y="5522497"/>
              <a:ext cx="453189" cy="21255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8E4000"/>
                  </a:solidFill>
                  <a:latin typeface="Latin Modern Math" panose="02000503000000000000" pitchFamily="50" charset="0"/>
                  <a:ea typeface="Latin Modern Math" panose="02000503000000000000" pitchFamily="50" charset="0"/>
                  <a:cs typeface="CMU Serif" panose="02000603000000000000" pitchFamily="2" charset="0"/>
                </a:rPr>
                <a:t>ρ</a:t>
              </a:r>
              <a:endParaRPr lang="de-DE" sz="1400" baseline="-25000">
                <a:solidFill>
                  <a:srgbClr val="8E4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endParaRPr>
            </a:p>
          </xdr:txBody>
        </xdr:sp>
      </xdr:grpSp>
      <xdr:sp macro="" textlink="">
        <xdr:nvSpPr>
          <xdr:cNvPr id="48" name="Rechteck: abgerundete Ecken 47">
            <a:extLst>
              <a:ext uri="{FF2B5EF4-FFF2-40B4-BE49-F238E27FC236}">
                <a16:creationId xmlns:a16="http://schemas.microsoft.com/office/drawing/2014/main" id="{E74E2980-727D-4518-9A6D-7F910B4EC11C}"/>
              </a:ext>
            </a:extLst>
          </xdr:cNvPr>
          <xdr:cNvSpPr/>
        </xdr:nvSpPr>
        <xdr:spPr>
          <a:xfrm>
            <a:off x="9802299" y="4871299"/>
            <a:ext cx="344905" cy="508879"/>
          </a:xfrm>
          <a:prstGeom prst="roundRect">
            <a:avLst>
              <a:gd name="adj" fmla="val 23996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7" name="Gruppieren 36">
            <a:extLst>
              <a:ext uri="{FF2B5EF4-FFF2-40B4-BE49-F238E27FC236}">
                <a16:creationId xmlns:a16="http://schemas.microsoft.com/office/drawing/2014/main" id="{DC1EC004-30C4-4B6A-8085-FAC91434BFA6}"/>
              </a:ext>
            </a:extLst>
          </xdr:cNvPr>
          <xdr:cNvGrpSpPr/>
        </xdr:nvGrpSpPr>
        <xdr:grpSpPr>
          <a:xfrm>
            <a:off x="9771764" y="4843227"/>
            <a:ext cx="392351" cy="583997"/>
            <a:chOff x="9799635" y="1598631"/>
            <a:chExt cx="371060" cy="479171"/>
          </a:xfrm>
        </xdr:grpSpPr>
        <xdr:sp macro="" textlink="">
          <xdr:nvSpPr>
            <xdr:cNvPr id="38" name="Textfeld 37">
              <a:extLst>
                <a:ext uri="{FF2B5EF4-FFF2-40B4-BE49-F238E27FC236}">
                  <a16:creationId xmlns:a16="http://schemas.microsoft.com/office/drawing/2014/main" id="{F14C0FEB-4B4C-C5B5-924A-BB5EF2494F72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FF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T</a:t>
              </a:r>
            </a:p>
            <a:p>
              <a:pPr algn="ctr"/>
              <a:r>
                <a:rPr lang="de-DE" sz="1400" i="1">
                  <a:solidFill>
                    <a:srgbClr val="FF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T</a:t>
              </a:r>
              <a:r>
                <a:rPr lang="de-DE" sz="1400" baseline="-25000">
                  <a:solidFill>
                    <a:srgbClr val="FF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</a:t>
              </a:r>
            </a:p>
          </xdr:txBody>
        </xdr:sp>
        <xdr:cxnSp macro="">
          <xdr:nvCxnSpPr>
            <xdr:cNvPr id="39" name="Gerader Verbinder 38">
              <a:extLst>
                <a:ext uri="{FF2B5EF4-FFF2-40B4-BE49-F238E27FC236}">
                  <a16:creationId xmlns:a16="http://schemas.microsoft.com/office/drawing/2014/main" id="{3368FB70-52C9-0A9E-2E8F-4C813BDF2ED3}"/>
                </a:ext>
              </a:extLst>
            </xdr:cNvPr>
            <xdr:cNvCxnSpPr/>
          </xdr:nvCxnSpPr>
          <xdr:spPr>
            <a:xfrm>
              <a:off x="9885947" y="1832812"/>
              <a:ext cx="200526" cy="0"/>
            </a:xfrm>
            <a:prstGeom prst="line">
              <a:avLst/>
            </a:prstGeom>
            <a:ln w="9525">
              <a:solidFill>
                <a:srgbClr val="FF0000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9" name="Rechteck: abgerundete Ecken 48">
            <a:extLst>
              <a:ext uri="{FF2B5EF4-FFF2-40B4-BE49-F238E27FC236}">
                <a16:creationId xmlns:a16="http://schemas.microsoft.com/office/drawing/2014/main" id="{57422FC5-7212-471B-9591-36A1B0E1D8F4}"/>
              </a:ext>
            </a:extLst>
          </xdr:cNvPr>
          <xdr:cNvSpPr/>
        </xdr:nvSpPr>
        <xdr:spPr>
          <a:xfrm>
            <a:off x="10726271" y="3199896"/>
            <a:ext cx="326528" cy="418515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4" name="Gruppieren 33">
            <a:extLst>
              <a:ext uri="{FF2B5EF4-FFF2-40B4-BE49-F238E27FC236}">
                <a16:creationId xmlns:a16="http://schemas.microsoft.com/office/drawing/2014/main" id="{F7ECD6B4-A220-480B-986A-167F0C8084AB}"/>
              </a:ext>
            </a:extLst>
          </xdr:cNvPr>
          <xdr:cNvGrpSpPr/>
        </xdr:nvGrpSpPr>
        <xdr:grpSpPr>
          <a:xfrm>
            <a:off x="10683753" y="3025052"/>
            <a:ext cx="392351" cy="732695"/>
            <a:chOff x="9799635" y="1598631"/>
            <a:chExt cx="371060" cy="479171"/>
          </a:xfrm>
        </xdr:grpSpPr>
        <xdr:sp macro="" textlink="">
          <xdr:nvSpPr>
            <xdr:cNvPr id="35" name="Textfeld 34">
              <a:extLst>
                <a:ext uri="{FF2B5EF4-FFF2-40B4-BE49-F238E27FC236}">
                  <a16:creationId xmlns:a16="http://schemas.microsoft.com/office/drawing/2014/main" id="{E764A3C5-C3AE-3CC8-1165-1C8C6E80B847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rgbClr val="1D792A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v</a:t>
              </a:r>
            </a:p>
            <a:p>
              <a:pPr algn="ctr"/>
              <a:r>
                <a:rPr lang="de-DE" sz="1400" i="1">
                  <a:solidFill>
                    <a:srgbClr val="1D792A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c</a:t>
              </a:r>
              <a:r>
                <a:rPr lang="de-DE" sz="1400">
                  <a:solidFill>
                    <a:srgbClr val="1D792A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*</a:t>
              </a:r>
            </a:p>
          </xdr:txBody>
        </xdr:sp>
        <xdr:cxnSp macro="">
          <xdr:nvCxnSpPr>
            <xdr:cNvPr id="36" name="Gerader Verbinder 35">
              <a:extLst>
                <a:ext uri="{FF2B5EF4-FFF2-40B4-BE49-F238E27FC236}">
                  <a16:creationId xmlns:a16="http://schemas.microsoft.com/office/drawing/2014/main" id="{900271AE-CFE6-1A3B-393D-AC9C2AE76DAB}"/>
                </a:ext>
              </a:extLst>
            </xdr:cNvPr>
            <xdr:cNvCxnSpPr/>
          </xdr:nvCxnSpPr>
          <xdr:spPr>
            <a:xfrm>
              <a:off x="9885947" y="1832812"/>
              <a:ext cx="200526" cy="0"/>
            </a:xfrm>
            <a:prstGeom prst="line">
              <a:avLst/>
            </a:prstGeom>
            <a:ln w="9525">
              <a:solidFill>
                <a:srgbClr val="1D792A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0" name="Rechteck: abgerundete Ecken 49">
            <a:extLst>
              <a:ext uri="{FF2B5EF4-FFF2-40B4-BE49-F238E27FC236}">
                <a16:creationId xmlns:a16="http://schemas.microsoft.com/office/drawing/2014/main" id="{DD14E0CF-9B70-4E59-A9D5-8A333278E532}"/>
              </a:ext>
            </a:extLst>
          </xdr:cNvPr>
          <xdr:cNvSpPr/>
        </xdr:nvSpPr>
        <xdr:spPr>
          <a:xfrm>
            <a:off x="10040171" y="1589314"/>
            <a:ext cx="353508" cy="483647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33" name="Gruppieren 32">
            <a:extLst>
              <a:ext uri="{FF2B5EF4-FFF2-40B4-BE49-F238E27FC236}">
                <a16:creationId xmlns:a16="http://schemas.microsoft.com/office/drawing/2014/main" id="{20F2E72B-0DCA-F36C-7FF1-B74EFC1F1743}"/>
              </a:ext>
            </a:extLst>
          </xdr:cNvPr>
          <xdr:cNvGrpSpPr/>
        </xdr:nvGrpSpPr>
        <xdr:grpSpPr>
          <a:xfrm>
            <a:off x="9990970" y="1454331"/>
            <a:ext cx="459315" cy="779753"/>
            <a:chOff x="9799635" y="1598631"/>
            <a:chExt cx="371060" cy="479171"/>
          </a:xfrm>
        </xdr:grpSpPr>
        <xdr:sp macro="" textlink="">
          <xdr:nvSpPr>
            <xdr:cNvPr id="26" name="Textfeld 25">
              <a:extLst>
                <a:ext uri="{FF2B5EF4-FFF2-40B4-BE49-F238E27FC236}">
                  <a16:creationId xmlns:a16="http://schemas.microsoft.com/office/drawing/2014/main" id="{8ECD9B8C-FB92-B20B-A175-1F10E388743D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chemeClr val="accent2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A</a:t>
              </a:r>
            </a:p>
            <a:p>
              <a:pPr algn="ctr"/>
              <a:r>
                <a:rPr lang="de-DE" sz="1400" i="1">
                  <a:solidFill>
                    <a:schemeClr val="accent2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A</a:t>
              </a:r>
              <a:r>
                <a:rPr lang="de-DE" sz="1400">
                  <a:solidFill>
                    <a:schemeClr val="accent2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*</a:t>
              </a:r>
            </a:p>
          </xdr:txBody>
        </xdr:sp>
        <xdr:cxnSp macro="">
          <xdr:nvCxnSpPr>
            <xdr:cNvPr id="31" name="Gerader Verbinder 30">
              <a:extLst>
                <a:ext uri="{FF2B5EF4-FFF2-40B4-BE49-F238E27FC236}">
                  <a16:creationId xmlns:a16="http://schemas.microsoft.com/office/drawing/2014/main" id="{4C0E36C0-D4B4-8FF4-8346-8764097C0877}"/>
                </a:ext>
              </a:extLst>
            </xdr:cNvPr>
            <xdr:cNvCxnSpPr/>
          </xdr:nvCxnSpPr>
          <xdr:spPr>
            <a:xfrm>
              <a:off x="9885947" y="1832812"/>
              <a:ext cx="200526" cy="0"/>
            </a:xfrm>
            <a:prstGeom prst="line">
              <a:avLst/>
            </a:prstGeom>
            <a:ln w="9525">
              <a:solidFill>
                <a:schemeClr val="accent2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1" name="Rechteck: abgerundete Ecken 50">
            <a:extLst>
              <a:ext uri="{FF2B5EF4-FFF2-40B4-BE49-F238E27FC236}">
                <a16:creationId xmlns:a16="http://schemas.microsoft.com/office/drawing/2014/main" id="{62505B1A-CC73-4D8B-B449-B750E6E0A8E3}"/>
              </a:ext>
            </a:extLst>
          </xdr:cNvPr>
          <xdr:cNvSpPr/>
        </xdr:nvSpPr>
        <xdr:spPr>
          <a:xfrm>
            <a:off x="8602349" y="5790145"/>
            <a:ext cx="347724" cy="483235"/>
          </a:xfrm>
          <a:prstGeom prst="roundRect">
            <a:avLst>
              <a:gd name="adj" fmla="val 29608"/>
            </a:avLst>
          </a:prstGeom>
          <a:solidFill>
            <a:sysClr val="window" lastClr="FFFFFF"/>
          </a:solidFill>
          <a:ln w="6350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grpSp>
        <xdr:nvGrpSpPr>
          <xdr:cNvPr id="52" name="Gruppieren 51">
            <a:extLst>
              <a:ext uri="{FF2B5EF4-FFF2-40B4-BE49-F238E27FC236}">
                <a16:creationId xmlns:a16="http://schemas.microsoft.com/office/drawing/2014/main" id="{1CEB6158-ACA6-440A-BAA3-C67D7DD99F15}"/>
              </a:ext>
            </a:extLst>
          </xdr:cNvPr>
          <xdr:cNvGrpSpPr/>
        </xdr:nvGrpSpPr>
        <xdr:grpSpPr>
          <a:xfrm>
            <a:off x="8585357" y="5665657"/>
            <a:ext cx="388363" cy="659549"/>
            <a:chOff x="9799635" y="1598631"/>
            <a:chExt cx="371060" cy="479171"/>
          </a:xfrm>
        </xdr:grpSpPr>
        <xdr:sp macro="" textlink="">
          <xdr:nvSpPr>
            <xdr:cNvPr id="53" name="Textfeld 52">
              <a:extLst>
                <a:ext uri="{FF2B5EF4-FFF2-40B4-BE49-F238E27FC236}">
                  <a16:creationId xmlns:a16="http://schemas.microsoft.com/office/drawing/2014/main" id="{EC89C7F0-B83B-F7FA-7424-48104D57861F}"/>
                </a:ext>
              </a:extLst>
            </xdr:cNvPr>
            <xdr:cNvSpPr txBox="1"/>
          </xdr:nvSpPr>
          <xdr:spPr>
            <a:xfrm>
              <a:off x="9799635" y="1598631"/>
              <a:ext cx="371060" cy="4791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400" i="1">
                  <a:solidFill>
                    <a:schemeClr val="accent1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</a:p>
            <a:p>
              <a:pPr algn="ctr"/>
              <a:r>
                <a:rPr lang="de-DE" sz="1400" i="1">
                  <a:solidFill>
                    <a:schemeClr val="accent1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400" baseline="-25000">
                  <a:solidFill>
                    <a:schemeClr val="accent1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</a:t>
              </a:r>
            </a:p>
          </xdr:txBody>
        </xdr:sp>
        <xdr:cxnSp macro="">
          <xdr:nvCxnSpPr>
            <xdr:cNvPr id="54" name="Gerader Verbinder 53">
              <a:extLst>
                <a:ext uri="{FF2B5EF4-FFF2-40B4-BE49-F238E27FC236}">
                  <a16:creationId xmlns:a16="http://schemas.microsoft.com/office/drawing/2014/main" id="{362B43FF-D65A-65AC-E65B-FA77A0E1F0A3}"/>
                </a:ext>
              </a:extLst>
            </xdr:cNvPr>
            <xdr:cNvCxnSpPr/>
          </xdr:nvCxnSpPr>
          <xdr:spPr>
            <a:xfrm>
              <a:off x="9885947" y="1844946"/>
              <a:ext cx="200526" cy="0"/>
            </a:xfrm>
            <a:prstGeom prst="line">
              <a:avLst/>
            </a:prstGeom>
            <a:ln w="9525">
              <a:solidFill>
                <a:schemeClr val="accent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6" name="Textfeld 55">
            <a:extLst>
              <a:ext uri="{FF2B5EF4-FFF2-40B4-BE49-F238E27FC236}">
                <a16:creationId xmlns:a16="http://schemas.microsoft.com/office/drawing/2014/main" id="{7976C38F-7EB3-4585-8A9E-5A6F4D697B26}"/>
              </a:ext>
            </a:extLst>
          </xdr:cNvPr>
          <xdr:cNvSpPr txBox="1"/>
        </xdr:nvSpPr>
        <xdr:spPr>
          <a:xfrm>
            <a:off x="7704174" y="5284673"/>
            <a:ext cx="612927" cy="48515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 i="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0,528</a:t>
            </a:r>
            <a:endParaRPr lang="de-DE" sz="1100" i="0">
              <a:solidFill>
                <a:schemeClr val="accent1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58" name="Textfeld 57">
            <a:extLst>
              <a:ext uri="{FF2B5EF4-FFF2-40B4-BE49-F238E27FC236}">
                <a16:creationId xmlns:a16="http://schemas.microsoft.com/office/drawing/2014/main" id="{D3585799-1F07-4294-A358-A62D37FF3796}"/>
              </a:ext>
            </a:extLst>
          </xdr:cNvPr>
          <xdr:cNvSpPr txBox="1"/>
        </xdr:nvSpPr>
        <xdr:spPr>
          <a:xfrm>
            <a:off x="8335391" y="5001954"/>
            <a:ext cx="677630" cy="4829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 i="0">
                <a:solidFill>
                  <a:srgbClr val="8E4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0,634</a:t>
            </a:r>
          </a:p>
        </xdr:txBody>
      </xdr:sp>
      <xdr:sp macro="" textlink="">
        <xdr:nvSpPr>
          <xdr:cNvPr id="2" name="Ellipse 1">
            <a:extLst>
              <a:ext uri="{FF2B5EF4-FFF2-40B4-BE49-F238E27FC236}">
                <a16:creationId xmlns:a16="http://schemas.microsoft.com/office/drawing/2014/main" id="{4D387FF9-AC1E-B6B5-AE51-1896871A0771}"/>
              </a:ext>
            </a:extLst>
          </xdr:cNvPr>
          <xdr:cNvSpPr/>
        </xdr:nvSpPr>
        <xdr:spPr>
          <a:xfrm>
            <a:off x="8195436" y="6425997"/>
            <a:ext cx="240323" cy="241328"/>
          </a:xfrm>
          <a:prstGeom prst="ellipse">
            <a:avLst/>
          </a:prstGeom>
          <a:noFill/>
          <a:ln w="9525"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4" name="Rechteck: abgerundete Ecken 3">
            <a:extLst>
              <a:ext uri="{FF2B5EF4-FFF2-40B4-BE49-F238E27FC236}">
                <a16:creationId xmlns:a16="http://schemas.microsoft.com/office/drawing/2014/main" id="{A1CC59B5-C9FD-D23C-C86F-753568602D6B}"/>
              </a:ext>
            </a:extLst>
          </xdr:cNvPr>
          <xdr:cNvSpPr/>
        </xdr:nvSpPr>
        <xdr:spPr>
          <a:xfrm>
            <a:off x="8426435" y="4710744"/>
            <a:ext cx="487497" cy="217161"/>
          </a:xfrm>
          <a:prstGeom prst="roundRect">
            <a:avLst>
              <a:gd name="adj" fmla="val 31761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de-DE" kern="1200"/>
          </a:p>
        </xdr:txBody>
      </xdr:sp>
      <xdr:sp macro="" textlink="">
        <xdr:nvSpPr>
          <xdr:cNvPr id="60" name="Textfeld 59">
            <a:extLst>
              <a:ext uri="{FF2B5EF4-FFF2-40B4-BE49-F238E27FC236}">
                <a16:creationId xmlns:a16="http://schemas.microsoft.com/office/drawing/2014/main" id="{09551B3C-56C3-47B8-93DE-C847B33EAC31}"/>
              </a:ext>
            </a:extLst>
          </xdr:cNvPr>
          <xdr:cNvSpPr txBox="1"/>
        </xdr:nvSpPr>
        <xdr:spPr>
          <a:xfrm>
            <a:off x="8341200" y="4582147"/>
            <a:ext cx="666011" cy="4816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400" i="0">
                <a:solidFill>
                  <a:srgbClr val="FF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0,833</a:t>
            </a:r>
            <a:endParaRPr lang="de-DE" sz="1100" i="0">
              <a:solidFill>
                <a:srgbClr val="FF0000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0.40672</cdr:x>
      <cdr:y>0.74572</cdr:y>
    </cdr:from>
    <cdr:to>
      <cdr:x>0.50411</cdr:x>
      <cdr:y>0.77849</cdr:y>
    </cdr:to>
    <cdr:sp macro="" textlink="">
      <cdr:nvSpPr>
        <cdr:cNvPr id="2" name="Rechteck: abgerundete Ecken 1">
          <a:extLst xmlns:a="http://schemas.openxmlformats.org/drawingml/2006/main">
            <a:ext uri="{FF2B5EF4-FFF2-40B4-BE49-F238E27FC236}">
              <a16:creationId xmlns:a16="http://schemas.microsoft.com/office/drawing/2014/main" id="{8C7A5F40-9C84-C34A-DE66-9FC00ABCF6E4}"/>
            </a:ext>
          </a:extLst>
        </cdr:cNvPr>
        <cdr:cNvSpPr/>
      </cdr:nvSpPr>
      <cdr:spPr>
        <a:xfrm xmlns:a="http://schemas.openxmlformats.org/drawingml/2006/main">
          <a:off x="2038864" y="4876359"/>
          <a:ext cx="488190" cy="214292"/>
        </a:xfrm>
        <a:prstGeom xmlns:a="http://schemas.openxmlformats.org/drawingml/2006/main" prst="roundRect">
          <a:avLst>
            <a:gd name="adj" fmla="val 31761"/>
          </a:avLst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de-DE" kern="1200"/>
        </a:p>
      </cdr:txBody>
    </cdr:sp>
  </cdr:relSizeAnchor>
  <cdr:relSizeAnchor xmlns:cdr="http://schemas.openxmlformats.org/drawingml/2006/chartDrawing">
    <cdr:from>
      <cdr:x>0.27159</cdr:x>
      <cdr:y>0.78958</cdr:y>
    </cdr:from>
    <cdr:to>
      <cdr:x>0.36897</cdr:x>
      <cdr:y>0.82235</cdr:y>
    </cdr:to>
    <cdr:sp macro="" textlink="">
      <cdr:nvSpPr>
        <cdr:cNvPr id="3" name="Rechteck: abgerundete Ecken 2">
          <a:extLst xmlns:a="http://schemas.openxmlformats.org/drawingml/2006/main">
            <a:ext uri="{FF2B5EF4-FFF2-40B4-BE49-F238E27FC236}">
              <a16:creationId xmlns:a16="http://schemas.microsoft.com/office/drawing/2014/main" id="{A1CC59B5-C9FD-D23C-C86F-753568602D6B}"/>
            </a:ext>
          </a:extLst>
        </cdr:cNvPr>
        <cdr:cNvSpPr/>
      </cdr:nvSpPr>
      <cdr:spPr>
        <a:xfrm xmlns:a="http://schemas.openxmlformats.org/drawingml/2006/main">
          <a:off x="1361439" y="5219896"/>
          <a:ext cx="488190" cy="216647"/>
        </a:xfrm>
        <a:prstGeom xmlns:a="http://schemas.openxmlformats.org/drawingml/2006/main" prst="roundRect">
          <a:avLst>
            <a:gd name="adj" fmla="val 31761"/>
          </a:avLst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1058</xdr:colOff>
      <xdr:row>1</xdr:row>
      <xdr:rowOff>1710</xdr:rowOff>
    </xdr:from>
    <xdr:to>
      <xdr:col>50</xdr:col>
      <xdr:colOff>261257</xdr:colOff>
      <xdr:row>49</xdr:row>
      <xdr:rowOff>194576</xdr:rowOff>
    </xdr:to>
    <xdr:grpSp>
      <xdr:nvGrpSpPr>
        <xdr:cNvPr id="14" name="Gruppieren 13">
          <a:extLst>
            <a:ext uri="{FF2B5EF4-FFF2-40B4-BE49-F238E27FC236}">
              <a16:creationId xmlns:a16="http://schemas.microsoft.com/office/drawing/2014/main" id="{A40A5DE6-4D39-6A91-F910-C2B84F10D99C}"/>
            </a:ext>
          </a:extLst>
        </xdr:cNvPr>
        <xdr:cNvGrpSpPr/>
      </xdr:nvGrpSpPr>
      <xdr:grpSpPr>
        <a:xfrm>
          <a:off x="24755172" y="197653"/>
          <a:ext cx="6617456" cy="9598123"/>
          <a:chOff x="24319744" y="197653"/>
          <a:chExt cx="6617456" cy="9598123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6ED2887C-6DBE-8AE2-F68B-0D3A2F8830B6}"/>
              </a:ext>
            </a:extLst>
          </xdr:cNvPr>
          <xdr:cNvGraphicFramePr/>
        </xdr:nvGraphicFramePr>
        <xdr:xfrm>
          <a:off x="24319744" y="197653"/>
          <a:ext cx="6617456" cy="95981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5" name="Textfeld 4">
            <a:extLst>
              <a:ext uri="{FF2B5EF4-FFF2-40B4-BE49-F238E27FC236}">
                <a16:creationId xmlns:a16="http://schemas.microsoft.com/office/drawing/2014/main" id="{758F0CF9-E45C-8B7F-D901-3CA0452609EC}"/>
              </a:ext>
            </a:extLst>
          </xdr:cNvPr>
          <xdr:cNvSpPr txBox="1"/>
        </xdr:nvSpPr>
        <xdr:spPr>
          <a:xfrm>
            <a:off x="28875302" y="848027"/>
            <a:ext cx="939025" cy="3073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Ma</a:t>
            </a:r>
            <a:r>
              <a:rPr lang="de-DE" sz="1100" baseline="-250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</a:t>
            </a:r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∞</a:t>
            </a:r>
          </a:p>
        </xdr:txBody>
      </xdr:sp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D7299955-133C-48C0-8855-AE855D7608A4}"/>
              </a:ext>
            </a:extLst>
          </xdr:cNvPr>
          <xdr:cNvSpPr txBox="1"/>
        </xdr:nvSpPr>
        <xdr:spPr>
          <a:xfrm>
            <a:off x="29121566" y="1087254"/>
            <a:ext cx="429328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</a:t>
            </a:r>
          </a:p>
        </xdr:txBody>
      </xdr:sp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852CCE86-EB33-43B1-A76F-3E3F3C5769FF}"/>
              </a:ext>
            </a:extLst>
          </xdr:cNvPr>
          <xdr:cNvSpPr txBox="1"/>
        </xdr:nvSpPr>
        <xdr:spPr>
          <a:xfrm>
            <a:off x="29058555" y="1669084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</a:t>
            </a:r>
          </a:p>
        </xdr:txBody>
      </xdr:sp>
      <xdr:sp macro="" textlink="">
        <xdr:nvSpPr>
          <xdr:cNvPr id="8" name="Textfeld 7">
            <a:extLst>
              <a:ext uri="{FF2B5EF4-FFF2-40B4-BE49-F238E27FC236}">
                <a16:creationId xmlns:a16="http://schemas.microsoft.com/office/drawing/2014/main" id="{F9A5E98B-D7F7-45CD-9E7F-4E8719E6633D}"/>
              </a:ext>
            </a:extLst>
          </xdr:cNvPr>
          <xdr:cNvSpPr txBox="1"/>
        </xdr:nvSpPr>
        <xdr:spPr>
          <a:xfrm>
            <a:off x="29018994" y="2075394"/>
            <a:ext cx="431506" cy="300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4</a:t>
            </a:r>
          </a:p>
        </xdr:txBody>
      </xdr:sp>
      <xdr:sp macro="" textlink="">
        <xdr:nvSpPr>
          <xdr:cNvPr id="9" name="Textfeld 8">
            <a:extLst>
              <a:ext uri="{FF2B5EF4-FFF2-40B4-BE49-F238E27FC236}">
                <a16:creationId xmlns:a16="http://schemas.microsoft.com/office/drawing/2014/main" id="{120F1BC3-0C57-47F1-B2DF-A1C5DCA95C93}"/>
              </a:ext>
            </a:extLst>
          </xdr:cNvPr>
          <xdr:cNvSpPr txBox="1"/>
        </xdr:nvSpPr>
        <xdr:spPr>
          <a:xfrm>
            <a:off x="28969542" y="2931808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</a:t>
            </a:r>
          </a:p>
        </xdr:txBody>
      </xdr:sp>
      <xdr:sp macro="" textlink="">
        <xdr:nvSpPr>
          <xdr:cNvPr id="10" name="Textfeld 9">
            <a:extLst>
              <a:ext uri="{FF2B5EF4-FFF2-40B4-BE49-F238E27FC236}">
                <a16:creationId xmlns:a16="http://schemas.microsoft.com/office/drawing/2014/main" id="{D9AAAA11-9CC6-425C-9E95-A49F17526970}"/>
              </a:ext>
            </a:extLst>
          </xdr:cNvPr>
          <xdr:cNvSpPr txBox="1"/>
        </xdr:nvSpPr>
        <xdr:spPr>
          <a:xfrm>
            <a:off x="28929980" y="3862422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2,4</a:t>
            </a:r>
          </a:p>
        </xdr:txBody>
      </xdr:sp>
      <xdr:sp macro="" textlink="">
        <xdr:nvSpPr>
          <xdr:cNvPr id="11" name="Textfeld 10">
            <a:extLst>
              <a:ext uri="{FF2B5EF4-FFF2-40B4-BE49-F238E27FC236}">
                <a16:creationId xmlns:a16="http://schemas.microsoft.com/office/drawing/2014/main" id="{303F63E8-F401-4D57-98C0-6106AA8D9DA9}"/>
              </a:ext>
            </a:extLst>
          </xdr:cNvPr>
          <xdr:cNvSpPr txBox="1"/>
        </xdr:nvSpPr>
        <xdr:spPr>
          <a:xfrm>
            <a:off x="28925038" y="4106939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2,3</a:t>
            </a:r>
          </a:p>
        </xdr:txBody>
      </xdr:sp>
      <xdr:sp macro="" textlink="">
        <xdr:nvSpPr>
          <xdr:cNvPr id="12" name="Textfeld 11">
            <a:extLst>
              <a:ext uri="{FF2B5EF4-FFF2-40B4-BE49-F238E27FC236}">
                <a16:creationId xmlns:a16="http://schemas.microsoft.com/office/drawing/2014/main" id="{3176CC5E-5CFF-42F1-8218-4ED31FA87C46}"/>
              </a:ext>
            </a:extLst>
          </xdr:cNvPr>
          <xdr:cNvSpPr txBox="1"/>
        </xdr:nvSpPr>
        <xdr:spPr>
          <a:xfrm>
            <a:off x="28925034" y="4338066"/>
            <a:ext cx="431506" cy="30863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2,2</a:t>
            </a:r>
          </a:p>
        </xdr:txBody>
      </xdr:sp>
      <xdr:sp macro="" textlink="">
        <xdr:nvSpPr>
          <xdr:cNvPr id="13" name="Textfeld 12">
            <a:extLst>
              <a:ext uri="{FF2B5EF4-FFF2-40B4-BE49-F238E27FC236}">
                <a16:creationId xmlns:a16="http://schemas.microsoft.com/office/drawing/2014/main" id="{079871EC-D1FE-46BC-90AC-3EF97E7D6A8E}"/>
              </a:ext>
            </a:extLst>
          </xdr:cNvPr>
          <xdr:cNvSpPr txBox="1"/>
        </xdr:nvSpPr>
        <xdr:spPr>
          <a:xfrm>
            <a:off x="28925034" y="4602049"/>
            <a:ext cx="431506" cy="300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2,1</a:t>
            </a:r>
          </a:p>
        </xdr:txBody>
      </xdr:sp>
      <xdr:sp macro="" textlink="">
        <xdr:nvSpPr>
          <xdr:cNvPr id="15" name="Textfeld 14">
            <a:extLst>
              <a:ext uri="{FF2B5EF4-FFF2-40B4-BE49-F238E27FC236}">
                <a16:creationId xmlns:a16="http://schemas.microsoft.com/office/drawing/2014/main" id="{79FEE250-A594-4A4F-B723-FEAECD56611C}"/>
              </a:ext>
            </a:extLst>
          </xdr:cNvPr>
          <xdr:cNvSpPr txBox="1"/>
        </xdr:nvSpPr>
        <xdr:spPr>
          <a:xfrm>
            <a:off x="28915144" y="4900790"/>
            <a:ext cx="431506" cy="30428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</a:t>
            </a:r>
          </a:p>
        </xdr:txBody>
      </xdr:sp>
      <xdr:sp macro="" textlink="">
        <xdr:nvSpPr>
          <xdr:cNvPr id="16" name="Textfeld 15">
            <a:extLst>
              <a:ext uri="{FF2B5EF4-FFF2-40B4-BE49-F238E27FC236}">
                <a16:creationId xmlns:a16="http://schemas.microsoft.com/office/drawing/2014/main" id="{E3D8A181-DDF9-4E57-B0AB-8FDFAA1D2323}"/>
              </a:ext>
            </a:extLst>
          </xdr:cNvPr>
          <xdr:cNvSpPr txBox="1"/>
        </xdr:nvSpPr>
        <xdr:spPr>
          <a:xfrm>
            <a:off x="28925034" y="5213944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1,9</a:t>
            </a:r>
          </a:p>
        </xdr:txBody>
      </xdr:sp>
      <xdr:sp macro="" textlink="">
        <xdr:nvSpPr>
          <xdr:cNvPr id="17" name="Textfeld 16">
            <a:extLst>
              <a:ext uri="{FF2B5EF4-FFF2-40B4-BE49-F238E27FC236}">
                <a16:creationId xmlns:a16="http://schemas.microsoft.com/office/drawing/2014/main" id="{EF8C7861-7812-4CD0-B7BE-57E35C26779E}"/>
              </a:ext>
            </a:extLst>
          </xdr:cNvPr>
          <xdr:cNvSpPr txBox="1"/>
        </xdr:nvSpPr>
        <xdr:spPr>
          <a:xfrm>
            <a:off x="28934501" y="5555186"/>
            <a:ext cx="431506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1,8</a:t>
            </a:r>
          </a:p>
        </xdr:txBody>
      </xdr:sp>
      <xdr:sp macro="" textlink="">
        <xdr:nvSpPr>
          <xdr:cNvPr id="18" name="Textfeld 17">
            <a:extLst>
              <a:ext uri="{FF2B5EF4-FFF2-40B4-BE49-F238E27FC236}">
                <a16:creationId xmlns:a16="http://schemas.microsoft.com/office/drawing/2014/main" id="{54ED76F0-8023-44D6-93A3-A21CF19753A2}"/>
              </a:ext>
            </a:extLst>
          </xdr:cNvPr>
          <xdr:cNvSpPr txBox="1"/>
        </xdr:nvSpPr>
        <xdr:spPr>
          <a:xfrm>
            <a:off x="28948065" y="5933550"/>
            <a:ext cx="431506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1,7</a:t>
            </a:r>
          </a:p>
        </xdr:txBody>
      </xdr:sp>
      <xdr:sp macro="" textlink="">
        <xdr:nvSpPr>
          <xdr:cNvPr id="19" name="Textfeld 18">
            <a:extLst>
              <a:ext uri="{FF2B5EF4-FFF2-40B4-BE49-F238E27FC236}">
                <a16:creationId xmlns:a16="http://schemas.microsoft.com/office/drawing/2014/main" id="{34EEF5DC-B2EE-4BBE-B676-8ABF950C6FF1}"/>
              </a:ext>
            </a:extLst>
          </xdr:cNvPr>
          <xdr:cNvSpPr txBox="1"/>
        </xdr:nvSpPr>
        <xdr:spPr>
          <a:xfrm>
            <a:off x="28988758" y="6360852"/>
            <a:ext cx="431506" cy="30446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1,6</a:t>
            </a:r>
          </a:p>
        </xdr:txBody>
      </xdr:sp>
      <xdr:sp macro="" textlink="">
        <xdr:nvSpPr>
          <xdr:cNvPr id="20" name="Textfeld 19">
            <a:extLst>
              <a:ext uri="{FF2B5EF4-FFF2-40B4-BE49-F238E27FC236}">
                <a16:creationId xmlns:a16="http://schemas.microsoft.com/office/drawing/2014/main" id="{79C1EDB3-E342-49B1-9EB7-D20095F2A06C}"/>
              </a:ext>
            </a:extLst>
          </xdr:cNvPr>
          <xdr:cNvSpPr txBox="1"/>
        </xdr:nvSpPr>
        <xdr:spPr>
          <a:xfrm>
            <a:off x="29038493" y="6814851"/>
            <a:ext cx="431506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1,5</a:t>
            </a:r>
          </a:p>
        </xdr:txBody>
      </xdr:sp>
      <xdr:sp macro="" textlink="">
        <xdr:nvSpPr>
          <xdr:cNvPr id="21" name="Textfeld 20">
            <a:extLst>
              <a:ext uri="{FF2B5EF4-FFF2-40B4-BE49-F238E27FC236}">
                <a16:creationId xmlns:a16="http://schemas.microsoft.com/office/drawing/2014/main" id="{D3F288FA-7E72-405A-A0C4-59026C9E3007}"/>
              </a:ext>
            </a:extLst>
          </xdr:cNvPr>
          <xdr:cNvSpPr txBox="1"/>
        </xdr:nvSpPr>
        <xdr:spPr>
          <a:xfrm>
            <a:off x="29117534" y="7277844"/>
            <a:ext cx="429328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1,4</a:t>
            </a:r>
          </a:p>
        </xdr:txBody>
      </xdr:sp>
      <xdr:sp macro="" textlink="">
        <xdr:nvSpPr>
          <xdr:cNvPr id="22" name="Textfeld 21">
            <a:extLst>
              <a:ext uri="{FF2B5EF4-FFF2-40B4-BE49-F238E27FC236}">
                <a16:creationId xmlns:a16="http://schemas.microsoft.com/office/drawing/2014/main" id="{99433C86-6432-405E-97EB-3579AF1D4A17}"/>
              </a:ext>
            </a:extLst>
          </xdr:cNvPr>
          <xdr:cNvSpPr txBox="1"/>
        </xdr:nvSpPr>
        <xdr:spPr>
          <a:xfrm>
            <a:off x="29217003" y="7767432"/>
            <a:ext cx="429328" cy="3001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1,3</a:t>
            </a:r>
          </a:p>
        </xdr:txBody>
      </xdr:sp>
      <xdr:sp macro="" textlink="">
        <xdr:nvSpPr>
          <xdr:cNvPr id="23" name="Textfeld 22">
            <a:extLst>
              <a:ext uri="{FF2B5EF4-FFF2-40B4-BE49-F238E27FC236}">
                <a16:creationId xmlns:a16="http://schemas.microsoft.com/office/drawing/2014/main" id="{42B6EC41-510F-4787-A007-9F35E1F92239}"/>
              </a:ext>
            </a:extLst>
          </xdr:cNvPr>
          <xdr:cNvSpPr txBox="1"/>
        </xdr:nvSpPr>
        <xdr:spPr>
          <a:xfrm>
            <a:off x="29382032" y="8257119"/>
            <a:ext cx="427066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1,2</a:t>
            </a:r>
          </a:p>
        </xdr:txBody>
      </xdr:sp>
      <xdr:sp macro="" textlink="">
        <xdr:nvSpPr>
          <xdr:cNvPr id="24" name="Textfeld 23">
            <a:extLst>
              <a:ext uri="{FF2B5EF4-FFF2-40B4-BE49-F238E27FC236}">
                <a16:creationId xmlns:a16="http://schemas.microsoft.com/office/drawing/2014/main" id="{DDB7B3FA-2B80-459D-A14E-0E6C1C219C24}"/>
              </a:ext>
            </a:extLst>
          </xdr:cNvPr>
          <xdr:cNvSpPr txBox="1"/>
        </xdr:nvSpPr>
        <xdr:spPr>
          <a:xfrm>
            <a:off x="29653311" y="8697772"/>
            <a:ext cx="429243" cy="30891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1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1,1</a:t>
            </a:r>
          </a:p>
        </xdr:txBody>
      </xdr:sp>
      <xdr:sp macro="" textlink="">
        <xdr:nvSpPr>
          <xdr:cNvPr id="2" name="Textfeld 1">
            <a:extLst>
              <a:ext uri="{FF2B5EF4-FFF2-40B4-BE49-F238E27FC236}">
                <a16:creationId xmlns:a16="http://schemas.microsoft.com/office/drawing/2014/main" id="{213B55D1-97D5-4921-A462-465C8A92DC70}"/>
              </a:ext>
            </a:extLst>
          </xdr:cNvPr>
          <xdr:cNvSpPr txBox="1"/>
        </xdr:nvSpPr>
        <xdr:spPr>
          <a:xfrm rot="16200000">
            <a:off x="23577677" y="4847104"/>
            <a:ext cx="1858806" cy="30710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Umlenkungswinkel </a:t>
            </a:r>
            <a:r>
              <a:rPr lang="el-GR" sz="1100" i="1">
                <a:solidFill>
                  <a:sysClr val="windowText" lastClr="00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°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  <xdr:sp macro="" textlink="">
        <xdr:nvSpPr>
          <xdr:cNvPr id="4" name="Textfeld 3">
            <a:extLst>
              <a:ext uri="{FF2B5EF4-FFF2-40B4-BE49-F238E27FC236}">
                <a16:creationId xmlns:a16="http://schemas.microsoft.com/office/drawing/2014/main" id="{5A2C3E56-D550-4246-856E-7BAE3938DFF3}"/>
              </a:ext>
            </a:extLst>
          </xdr:cNvPr>
          <xdr:cNvSpPr txBox="1"/>
        </xdr:nvSpPr>
        <xdr:spPr>
          <a:xfrm>
            <a:off x="26955200" y="9429991"/>
            <a:ext cx="1301553" cy="3030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Stoßwinkel </a:t>
            </a:r>
            <a:r>
              <a:rPr lang="el-GR" sz="1100" i="1">
                <a:solidFill>
                  <a:sysClr val="windowText" lastClr="00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σ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°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1058</xdr:colOff>
      <xdr:row>1</xdr:row>
      <xdr:rowOff>1710</xdr:rowOff>
    </xdr:from>
    <xdr:to>
      <xdr:col>20</xdr:col>
      <xdr:colOff>261257</xdr:colOff>
      <xdr:row>50</xdr:row>
      <xdr:rowOff>0</xdr:rowOff>
    </xdr:to>
    <xdr:grpSp>
      <xdr:nvGrpSpPr>
        <xdr:cNvPr id="4" name="Gruppieren 3">
          <a:extLst>
            <a:ext uri="{FF2B5EF4-FFF2-40B4-BE49-F238E27FC236}">
              <a16:creationId xmlns:a16="http://schemas.microsoft.com/office/drawing/2014/main" id="{8E903D2C-539B-5386-6E36-2DE5C5381F23}"/>
            </a:ext>
          </a:extLst>
        </xdr:cNvPr>
        <xdr:cNvGrpSpPr/>
      </xdr:nvGrpSpPr>
      <xdr:grpSpPr>
        <a:xfrm>
          <a:off x="9253915" y="197653"/>
          <a:ext cx="6617456" cy="9599490"/>
          <a:chOff x="9158310" y="200493"/>
          <a:chExt cx="6621243" cy="9738637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C5FD250F-7E33-B4C5-B89F-9AD0E75DEECA}"/>
              </a:ext>
            </a:extLst>
          </xdr:cNvPr>
          <xdr:cNvGraphicFramePr/>
        </xdr:nvGraphicFramePr>
        <xdr:xfrm>
          <a:off x="9158310" y="200493"/>
          <a:ext cx="6621243" cy="97386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3" name="Textfeld 22">
            <a:extLst>
              <a:ext uri="{FF2B5EF4-FFF2-40B4-BE49-F238E27FC236}">
                <a16:creationId xmlns:a16="http://schemas.microsoft.com/office/drawing/2014/main" id="{FFB3756E-1178-43A9-BFF6-B66DBACBAA90}"/>
              </a:ext>
            </a:extLst>
          </xdr:cNvPr>
          <xdr:cNvSpPr txBox="1"/>
        </xdr:nvSpPr>
        <xdr:spPr>
          <a:xfrm rot="2108448">
            <a:off x="11274989" y="7274765"/>
            <a:ext cx="1922649" cy="306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Ablenkungswinkel</a:t>
            </a:r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 i="1" baseline="0">
                <a:solidFill>
                  <a:schemeClr val="accent3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4" name="Textfeld 23">
            <a:extLst>
              <a:ext uri="{FF2B5EF4-FFF2-40B4-BE49-F238E27FC236}">
                <a16:creationId xmlns:a16="http://schemas.microsoft.com/office/drawing/2014/main" id="{FA404615-0895-4D18-9741-0A83EE33F0E0}"/>
              </a:ext>
            </a:extLst>
          </xdr:cNvPr>
          <xdr:cNvSpPr txBox="1"/>
        </xdr:nvSpPr>
        <xdr:spPr>
          <a:xfrm>
            <a:off x="12503360" y="6772978"/>
            <a:ext cx="343889" cy="3071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5" name="Textfeld 24">
            <a:extLst>
              <a:ext uri="{FF2B5EF4-FFF2-40B4-BE49-F238E27FC236}">
                <a16:creationId xmlns:a16="http://schemas.microsoft.com/office/drawing/2014/main" id="{07D98B89-1247-4B4F-BE00-6EB35867A69A}"/>
              </a:ext>
            </a:extLst>
          </xdr:cNvPr>
          <xdr:cNvSpPr txBox="1"/>
        </xdr:nvSpPr>
        <xdr:spPr>
          <a:xfrm>
            <a:off x="12695145" y="6408635"/>
            <a:ext cx="457914" cy="307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6" name="Textfeld 25">
            <a:extLst>
              <a:ext uri="{FF2B5EF4-FFF2-40B4-BE49-F238E27FC236}">
                <a16:creationId xmlns:a16="http://schemas.microsoft.com/office/drawing/2014/main" id="{B5C3253F-E506-41AE-ACAE-3F6A5C66DA74}"/>
              </a:ext>
            </a:extLst>
          </xdr:cNvPr>
          <xdr:cNvSpPr txBox="1"/>
        </xdr:nvSpPr>
        <xdr:spPr>
          <a:xfrm>
            <a:off x="12946450" y="5977718"/>
            <a:ext cx="457914" cy="3071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15°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7" name="Textfeld 26">
            <a:extLst>
              <a:ext uri="{FF2B5EF4-FFF2-40B4-BE49-F238E27FC236}">
                <a16:creationId xmlns:a16="http://schemas.microsoft.com/office/drawing/2014/main" id="{D8CFCB22-2A56-42B0-B705-78EE61710944}"/>
              </a:ext>
            </a:extLst>
          </xdr:cNvPr>
          <xdr:cNvSpPr txBox="1"/>
        </xdr:nvSpPr>
        <xdr:spPr>
          <a:xfrm>
            <a:off x="13258875" y="5487796"/>
            <a:ext cx="456315" cy="306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 baseline="0">
                <a:solidFill>
                  <a:schemeClr val="accent3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20°</a:t>
            </a:r>
            <a:endParaRPr lang="de-DE" sz="11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" name="Textfeld 1">
            <a:extLst>
              <a:ext uri="{FF2B5EF4-FFF2-40B4-BE49-F238E27FC236}">
                <a16:creationId xmlns:a16="http://schemas.microsoft.com/office/drawing/2014/main" id="{4B436804-7C9B-4733-A9ED-D7D3FDFD3EBE}"/>
              </a:ext>
            </a:extLst>
          </xdr:cNvPr>
          <xdr:cNvSpPr txBox="1"/>
        </xdr:nvSpPr>
        <xdr:spPr>
          <a:xfrm rot="16200000">
            <a:off x="8391273" y="4919990"/>
            <a:ext cx="1908711" cy="3080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Stoßwinkel </a:t>
            </a:r>
            <a:r>
              <a:rPr lang="el-GR" sz="1100" i="1">
                <a:solidFill>
                  <a:sysClr val="windowText" lastClr="000000"/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σ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°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0.67316</cdr:x>
      <cdr:y>0.48565</cdr:y>
    </cdr:from>
    <cdr:to>
      <cdr:x>0.74221</cdr:x>
      <cdr:y>0.51714</cdr:y>
    </cdr:to>
    <cdr:sp macro="" textlink="">
      <cdr:nvSpPr>
        <cdr:cNvPr id="2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4457148" y="4728818"/>
          <a:ext cx="457199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25°</a:t>
          </a:r>
          <a:endParaRPr lang="de-DE" sz="1100">
            <a:solidFill>
              <a:schemeClr val="accent3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cdr:txBody>
    </cdr:sp>
  </cdr:relSizeAnchor>
  <cdr:relSizeAnchor xmlns:cdr="http://schemas.openxmlformats.org/drawingml/2006/chartDrawing">
    <cdr:from>
      <cdr:x>0.74421</cdr:x>
      <cdr:y>0.4176</cdr:y>
    </cdr:from>
    <cdr:to>
      <cdr:x>0.81326</cdr:x>
      <cdr:y>0.44909</cdr:y>
    </cdr:to>
    <cdr:sp macro="" textlink="">
      <cdr:nvSpPr>
        <cdr:cNvPr id="3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4927600" y="4066209"/>
          <a:ext cx="457199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30°</a:t>
          </a:r>
          <a:endParaRPr lang="de-DE" sz="1100">
            <a:solidFill>
              <a:schemeClr val="accent3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cdr:txBody>
    </cdr:sp>
  </cdr:relSizeAnchor>
  <cdr:relSizeAnchor xmlns:cdr="http://schemas.openxmlformats.org/drawingml/2006/chartDrawing">
    <cdr:from>
      <cdr:x>0.85829</cdr:x>
      <cdr:y>0.32369</cdr:y>
    </cdr:from>
    <cdr:to>
      <cdr:x>0.92734</cdr:x>
      <cdr:y>0.35518</cdr:y>
    </cdr:to>
    <cdr:sp macro="" textlink="">
      <cdr:nvSpPr>
        <cdr:cNvPr id="4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5682973" y="3151808"/>
          <a:ext cx="457199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10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35°</a:t>
          </a:r>
          <a:endParaRPr lang="de-DE" sz="1100">
            <a:solidFill>
              <a:schemeClr val="accent3"/>
            </a:solidFill>
            <a:latin typeface="CMU Serif" panose="02000603000000000000" pitchFamily="2" charset="0"/>
            <a:ea typeface="CMU Serif" panose="02000603000000000000" pitchFamily="2" charset="0"/>
            <a:cs typeface="CMU Serif" panose="02000603000000000000" pitchFamily="2" charset="0"/>
          </a:endParaRPr>
        </a:p>
      </cdr:txBody>
    </cdr:sp>
  </cdr:relSizeAnchor>
  <cdr:relSizeAnchor xmlns:cdr="http://schemas.openxmlformats.org/drawingml/2006/chartDrawing">
    <cdr:from>
      <cdr:x>0.07972</cdr:x>
      <cdr:y>0.87966</cdr:y>
    </cdr:from>
    <cdr:to>
      <cdr:x>0.34509</cdr:x>
      <cdr:y>0.91115</cdr:y>
    </cdr:to>
    <cdr:sp macro="" textlink="">
      <cdr:nvSpPr>
        <cdr:cNvPr id="5" name="Textfeld 24">
          <a:extLst xmlns:a="http://schemas.openxmlformats.org/drawingml/2006/main">
            <a:ext uri="{FF2B5EF4-FFF2-40B4-BE49-F238E27FC236}">
              <a16:creationId xmlns:a16="http://schemas.microsoft.com/office/drawing/2014/main" id="{07D98B89-1247-4B4F-BE00-6EB35867A69A}"/>
            </a:ext>
          </a:extLst>
        </cdr:cNvPr>
        <cdr:cNvSpPr txBox="1"/>
      </cdr:nvSpPr>
      <cdr:spPr>
        <a:xfrm xmlns:a="http://schemas.openxmlformats.org/drawingml/2006/main">
          <a:off x="527878" y="8565323"/>
          <a:ext cx="1757064" cy="3066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l-GR" sz="1100" i="1" baseline="0">
              <a:solidFill>
                <a:schemeClr val="accent3"/>
              </a:solidFill>
              <a:latin typeface="Latin Modern Math" panose="02000503000000000000" pitchFamily="50" charset="0"/>
              <a:ea typeface="Latin Modern Math" panose="02000503000000000000" pitchFamily="50" charset="0"/>
              <a:cs typeface="CMU Serif" panose="02000603000000000000" pitchFamily="2" charset="0"/>
            </a:rPr>
            <a:t>ϑ</a:t>
          </a:r>
          <a:r>
            <a:rPr lang="de-DE" sz="1100" i="0" baseline="-250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max</a:t>
          </a:r>
          <a:r>
            <a:rPr lang="de-DE" sz="1100" i="0" baseline="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 liegt bei Ma</a:t>
          </a:r>
          <a:r>
            <a:rPr lang="de-DE" sz="1100" i="0" baseline="-25000">
              <a:solidFill>
                <a:schemeClr val="accent3"/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rPr>
            <a:t>1,min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102121</xdr:colOff>
      <xdr:row>0</xdr:row>
      <xdr:rowOff>194607</xdr:rowOff>
    </xdr:from>
    <xdr:to>
      <xdr:col>26</xdr:col>
      <xdr:colOff>519950</xdr:colOff>
      <xdr:row>49</xdr:row>
      <xdr:rowOff>192897</xdr:rowOff>
    </xdr:to>
    <xdr:grpSp>
      <xdr:nvGrpSpPr>
        <xdr:cNvPr id="21" name="Gruppieren 20">
          <a:extLst>
            <a:ext uri="{FF2B5EF4-FFF2-40B4-BE49-F238E27FC236}">
              <a16:creationId xmlns:a16="http://schemas.microsoft.com/office/drawing/2014/main" id="{843A669F-6D8B-A413-88E7-032B16793365}"/>
            </a:ext>
          </a:extLst>
        </xdr:cNvPr>
        <xdr:cNvGrpSpPr/>
      </xdr:nvGrpSpPr>
      <xdr:grpSpPr>
        <a:xfrm>
          <a:off x="15485556" y="194607"/>
          <a:ext cx="6908276" cy="9724996"/>
          <a:chOff x="15552947" y="194607"/>
          <a:chExt cx="6701970" cy="9785020"/>
        </a:xfrm>
      </xdr:grpSpPr>
      <xdr:graphicFrame macro="">
        <xdr:nvGraphicFramePr>
          <xdr:cNvPr id="3" name="Diagramm 2">
            <a:extLst>
              <a:ext uri="{FF2B5EF4-FFF2-40B4-BE49-F238E27FC236}">
                <a16:creationId xmlns:a16="http://schemas.microsoft.com/office/drawing/2014/main" id="{094CF861-8D14-3B0B-9E74-3821F8A688AE}"/>
              </a:ext>
            </a:extLst>
          </xdr:cNvPr>
          <xdr:cNvGraphicFramePr/>
        </xdr:nvGraphicFramePr>
        <xdr:xfrm>
          <a:off x="15638311" y="194607"/>
          <a:ext cx="6616606" cy="97850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6" name="Textfeld 5">
            <a:extLst>
              <a:ext uri="{FF2B5EF4-FFF2-40B4-BE49-F238E27FC236}">
                <a16:creationId xmlns:a16="http://schemas.microsoft.com/office/drawing/2014/main" id="{260A97A5-92C7-4005-923A-D68283719B86}"/>
              </a:ext>
            </a:extLst>
          </xdr:cNvPr>
          <xdr:cNvSpPr txBox="1"/>
        </xdr:nvSpPr>
        <xdr:spPr>
          <a:xfrm rot="16200000">
            <a:off x="14715453" y="4952634"/>
            <a:ext cx="2268002" cy="3079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Ruhedruckverhältnis     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 [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de-DE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-</a:t>
            </a:r>
            <a:r>
              <a:rPr lang="el-GR" sz="5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</a:t>
            </a:r>
            <a:r>
              <a:rPr lang="el-GR" sz="11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]</a:t>
            </a:r>
          </a:p>
        </xdr:txBody>
      </xdr:sp>
      <xdr:grpSp>
        <xdr:nvGrpSpPr>
          <xdr:cNvPr id="10" name="Gruppieren 9">
            <a:extLst>
              <a:ext uri="{FF2B5EF4-FFF2-40B4-BE49-F238E27FC236}">
                <a16:creationId xmlns:a16="http://schemas.microsoft.com/office/drawing/2014/main" id="{94E9F43D-E0DE-38DF-7342-28FDACE616A7}"/>
              </a:ext>
            </a:extLst>
          </xdr:cNvPr>
          <xdr:cNvGrpSpPr/>
        </xdr:nvGrpSpPr>
        <xdr:grpSpPr>
          <a:xfrm rot="16200000">
            <a:off x="15559900" y="4293101"/>
            <a:ext cx="554971" cy="568877"/>
            <a:chOff x="17084177" y="6440727"/>
            <a:chExt cx="558019" cy="566227"/>
          </a:xfrm>
        </xdr:grpSpPr>
        <xdr:sp macro="" textlink="">
          <xdr:nvSpPr>
            <xdr:cNvPr id="7" name="Textfeld 6">
              <a:extLst>
                <a:ext uri="{FF2B5EF4-FFF2-40B4-BE49-F238E27FC236}">
                  <a16:creationId xmlns:a16="http://schemas.microsoft.com/office/drawing/2014/main" id="{C7E56601-707C-4181-9B00-24C1D666D6F9}"/>
                </a:ext>
              </a:extLst>
            </xdr:cNvPr>
            <xdr:cNvSpPr txBox="1"/>
          </xdr:nvSpPr>
          <xdr:spPr>
            <a:xfrm>
              <a:off x="17084177" y="6440727"/>
              <a:ext cx="558019" cy="56622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de-DE" sz="1100" i="1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100" baseline="-2500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02</a:t>
              </a:r>
            </a:p>
            <a:p>
              <a:pPr algn="ctr"/>
              <a:r>
                <a:rPr lang="de-DE" sz="1100" i="1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p</a:t>
              </a:r>
              <a:r>
                <a:rPr lang="de-DE" sz="1100" baseline="-25000">
                  <a:solidFill>
                    <a:sysClr val="windowText" lastClr="000000"/>
                  </a:solidFill>
                  <a:latin typeface="CMU Serif" panose="02000603000000000000" pitchFamily="2" charset="0"/>
                  <a:ea typeface="CMU Serif" panose="02000603000000000000" pitchFamily="2" charset="0"/>
                  <a:cs typeface="CMU Serif" panose="02000603000000000000" pitchFamily="2" charset="0"/>
                </a:rPr>
                <a:t>01</a:t>
              </a:r>
              <a:endParaRPr lang="el-GR" sz="1100" baseline="-25000">
                <a:solidFill>
                  <a:sysClr val="windowText" lastClr="000000"/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endParaRPr>
            </a:p>
          </xdr:txBody>
        </xdr:sp>
        <xdr:cxnSp macro="">
          <xdr:nvCxnSpPr>
            <xdr:cNvPr id="9" name="Gerader Verbinder 8">
              <a:extLst>
                <a:ext uri="{FF2B5EF4-FFF2-40B4-BE49-F238E27FC236}">
                  <a16:creationId xmlns:a16="http://schemas.microsoft.com/office/drawing/2014/main" id="{074B2973-0A09-2B34-8D3B-1E54BD86E284}"/>
                </a:ext>
              </a:extLst>
            </xdr:cNvPr>
            <xdr:cNvCxnSpPr/>
          </xdr:nvCxnSpPr>
          <xdr:spPr>
            <a:xfrm>
              <a:off x="17254726" y="6745158"/>
              <a:ext cx="231648" cy="0"/>
            </a:xfrm>
            <a:prstGeom prst="line">
              <a:avLst/>
            </a:prstGeom>
            <a:ln w="6350">
              <a:solidFill>
                <a:schemeClr val="tx1"/>
              </a:solidFill>
            </a:ln>
          </xdr:spPr>
          <xdr:style>
            <a:lnRef idx="2">
              <a:schemeClr val="accent1"/>
            </a:lnRef>
            <a:fillRef idx="0">
              <a:schemeClr val="accent1"/>
            </a:fillRef>
            <a:effectRef idx="1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11" name="Textfeld 24">
            <a:extLst>
              <a:ext uri="{FF2B5EF4-FFF2-40B4-BE49-F238E27FC236}">
                <a16:creationId xmlns:a16="http://schemas.microsoft.com/office/drawing/2014/main" id="{5C102ABB-440E-2254-61DF-C7121013D782}"/>
              </a:ext>
            </a:extLst>
          </xdr:cNvPr>
          <xdr:cNvSpPr txBox="1"/>
        </xdr:nvSpPr>
        <xdr:spPr>
          <a:xfrm>
            <a:off x="20719011" y="5528451"/>
            <a:ext cx="456935" cy="30203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30°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2" name="Textfeld 24">
            <a:extLst>
              <a:ext uri="{FF2B5EF4-FFF2-40B4-BE49-F238E27FC236}">
                <a16:creationId xmlns:a16="http://schemas.microsoft.com/office/drawing/2014/main" id="{AF90F96A-B2F8-40B7-B114-8B75EF622274}"/>
              </a:ext>
            </a:extLst>
          </xdr:cNvPr>
          <xdr:cNvSpPr txBox="1"/>
        </xdr:nvSpPr>
        <xdr:spPr>
          <a:xfrm>
            <a:off x="21496556" y="7605984"/>
            <a:ext cx="456935" cy="3017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35°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3" name="Textfeld 24">
            <a:extLst>
              <a:ext uri="{FF2B5EF4-FFF2-40B4-BE49-F238E27FC236}">
                <a16:creationId xmlns:a16="http://schemas.microsoft.com/office/drawing/2014/main" id="{7D677C79-4818-4CF1-9F2E-27329B5157B2}"/>
              </a:ext>
            </a:extLst>
          </xdr:cNvPr>
          <xdr:cNvSpPr txBox="1"/>
        </xdr:nvSpPr>
        <xdr:spPr>
          <a:xfrm>
            <a:off x="20613503" y="4006488"/>
            <a:ext cx="456935" cy="30177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4" name="Textfeld 24">
            <a:extLst>
              <a:ext uri="{FF2B5EF4-FFF2-40B4-BE49-F238E27FC236}">
                <a16:creationId xmlns:a16="http://schemas.microsoft.com/office/drawing/2014/main" id="{6E9D19E3-52DA-46E8-8927-E73246454FD6}"/>
              </a:ext>
            </a:extLst>
          </xdr:cNvPr>
          <xdr:cNvSpPr txBox="1"/>
        </xdr:nvSpPr>
        <xdr:spPr>
          <a:xfrm>
            <a:off x="20507995" y="2619342"/>
            <a:ext cx="456935" cy="3017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20°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5" name="Textfeld 24">
            <a:extLst>
              <a:ext uri="{FF2B5EF4-FFF2-40B4-BE49-F238E27FC236}">
                <a16:creationId xmlns:a16="http://schemas.microsoft.com/office/drawing/2014/main" id="{E94E68E2-3445-4852-AD80-62C5D02A0843}"/>
              </a:ext>
            </a:extLst>
          </xdr:cNvPr>
          <xdr:cNvSpPr txBox="1"/>
        </xdr:nvSpPr>
        <xdr:spPr>
          <a:xfrm>
            <a:off x="20484549" y="1461816"/>
            <a:ext cx="456935" cy="3017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6" name="Textfeld 24">
            <a:extLst>
              <a:ext uri="{FF2B5EF4-FFF2-40B4-BE49-F238E27FC236}">
                <a16:creationId xmlns:a16="http://schemas.microsoft.com/office/drawing/2014/main" id="{0EE538D8-6793-4350-A1CD-E864D2A177D6}"/>
              </a:ext>
            </a:extLst>
          </xdr:cNvPr>
          <xdr:cNvSpPr txBox="1"/>
        </xdr:nvSpPr>
        <xdr:spPr>
          <a:xfrm>
            <a:off x="20490411" y="748747"/>
            <a:ext cx="456935" cy="301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10°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7" name="Textfeld 24">
            <a:extLst>
              <a:ext uri="{FF2B5EF4-FFF2-40B4-BE49-F238E27FC236}">
                <a16:creationId xmlns:a16="http://schemas.microsoft.com/office/drawing/2014/main" id="{8DF3F2C6-83CF-4EB1-AFC6-C32695032CE7}"/>
              </a:ext>
            </a:extLst>
          </xdr:cNvPr>
          <xdr:cNvSpPr txBox="1"/>
        </xdr:nvSpPr>
        <xdr:spPr>
          <a:xfrm>
            <a:off x="20490411" y="351183"/>
            <a:ext cx="456935" cy="301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5°</a:t>
            </a:r>
            <a:endParaRPr lang="de-DE" sz="11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19" name="Textfeld 24">
            <a:extLst>
              <a:ext uri="{FF2B5EF4-FFF2-40B4-BE49-F238E27FC236}">
                <a16:creationId xmlns:a16="http://schemas.microsoft.com/office/drawing/2014/main" id="{306BB4A8-4B73-20DA-B412-7D315F065AE3}"/>
              </a:ext>
            </a:extLst>
          </xdr:cNvPr>
          <xdr:cNvSpPr txBox="1"/>
        </xdr:nvSpPr>
        <xdr:spPr>
          <a:xfrm>
            <a:off x="18057003" y="6649717"/>
            <a:ext cx="1713354" cy="3017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de-DE" sz="1100" i="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senkrechter Stoß </a:t>
            </a:r>
            <a:r>
              <a:rPr lang="el-GR" sz="1100" i="1" baseline="0">
                <a:solidFill>
                  <a:schemeClr val="accent4">
                    <a:lumMod val="75000"/>
                  </a:schemeClr>
                </a:solidFill>
                <a:latin typeface="Latin Modern Math" panose="02000503000000000000" pitchFamily="50" charset="0"/>
                <a:ea typeface="Latin Modern Math" panose="02000503000000000000" pitchFamily="50" charset="0"/>
                <a:cs typeface="CMU Serif" panose="02000603000000000000" pitchFamily="2" charset="0"/>
              </a:rPr>
              <a:t>ϑ</a:t>
            </a:r>
            <a:r>
              <a:rPr lang="de-DE" sz="1100" i="0" baseline="0">
                <a:solidFill>
                  <a:schemeClr val="accent4">
                    <a:lumMod val="75000"/>
                  </a:schemeClr>
                </a:solidFill>
                <a:latin typeface="CMU Serif" panose="02000603000000000000" pitchFamily="2" charset="0"/>
                <a:ea typeface="CMU Serif" panose="02000603000000000000" pitchFamily="2" charset="0"/>
                <a:cs typeface="CMU Serif" panose="02000603000000000000" pitchFamily="2" charset="0"/>
              </a:rPr>
              <a:t> = 0°</a:t>
            </a:r>
            <a:endParaRPr lang="de-DE" sz="1100" i="0" baseline="-25000">
              <a:solidFill>
                <a:schemeClr val="accent4">
                  <a:lumMod val="75000"/>
                </a:schemeClr>
              </a:solidFill>
              <a:latin typeface="CMU Serif" panose="02000603000000000000" pitchFamily="2" charset="0"/>
              <a:ea typeface="CMU Serif" panose="02000603000000000000" pitchFamily="2" charset="0"/>
              <a:cs typeface="CMU Serif" panose="02000603000000000000" pitchFamily="2" charset="0"/>
            </a:endParaRPr>
          </a:p>
        </xdr:txBody>
      </xdr:sp>
      <xdr:sp macro="" textlink="">
        <xdr:nvSpPr>
          <xdr:cNvPr id="20" name="Freihandform: Form 19">
            <a:extLst>
              <a:ext uri="{FF2B5EF4-FFF2-40B4-BE49-F238E27FC236}">
                <a16:creationId xmlns:a16="http://schemas.microsoft.com/office/drawing/2014/main" id="{D00E9615-25F1-8C4F-5C9B-1B7CCB2BCF96}"/>
              </a:ext>
            </a:extLst>
          </xdr:cNvPr>
          <xdr:cNvSpPr/>
        </xdr:nvSpPr>
        <xdr:spPr>
          <a:xfrm>
            <a:off x="19716978" y="6527261"/>
            <a:ext cx="321013" cy="260391"/>
          </a:xfrm>
          <a:custGeom>
            <a:avLst/>
            <a:gdLst>
              <a:gd name="csX0" fmla="*/ 0 w 321013"/>
              <a:gd name="csY0" fmla="*/ 259404 h 259404"/>
              <a:gd name="csX1" fmla="*/ 175098 w 321013"/>
              <a:gd name="csY1" fmla="*/ 201038 h 259404"/>
              <a:gd name="csX2" fmla="*/ 321013 w 321013"/>
              <a:gd name="csY2" fmla="*/ 0 h 259404"/>
            </a:gdLst>
            <a:ahLst/>
            <a:cxnLst>
              <a:cxn ang="0">
                <a:pos x="csX0" y="csY0"/>
              </a:cxn>
              <a:cxn ang="0">
                <a:pos x="csX1" y="csY1"/>
              </a:cxn>
              <a:cxn ang="0">
                <a:pos x="csX2" y="csY2"/>
              </a:cxn>
            </a:cxnLst>
            <a:rect l="l" t="t" r="r" b="b"/>
            <a:pathLst>
              <a:path w="321013" h="259404">
                <a:moveTo>
                  <a:pt x="0" y="259404"/>
                </a:moveTo>
                <a:cubicBezTo>
                  <a:pt x="60798" y="251838"/>
                  <a:pt x="121596" y="244272"/>
                  <a:pt x="175098" y="201038"/>
                </a:cubicBezTo>
                <a:cubicBezTo>
                  <a:pt x="228600" y="157804"/>
                  <a:pt x="284805" y="64851"/>
                  <a:pt x="321013" y="0"/>
                </a:cubicBezTo>
              </a:path>
            </a:pathLst>
          </a:custGeom>
          <a:noFill/>
          <a:ln w="12700" cap="rnd">
            <a:solidFill>
              <a:schemeClr val="accent4">
                <a:lumMod val="75000"/>
              </a:schemeClr>
            </a:solidFill>
            <a:round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214E-2E36-4A17-9BE2-2D8A49B6815B}">
  <dimension ref="B2:G34"/>
  <sheetViews>
    <sheetView zoomScale="115" zoomScaleNormal="115" workbookViewId="0">
      <selection activeCell="P2" sqref="P2"/>
    </sheetView>
  </sheetViews>
  <sheetFormatPr baseColWidth="10" defaultColWidth="11.5546875" defaultRowHeight="15.6" x14ac:dyDescent="0.4"/>
  <cols>
    <col min="1" max="1" width="2.6640625" style="12" customWidth="1"/>
    <col min="2" max="2" width="8.88671875" style="12" customWidth="1"/>
    <col min="3" max="7" width="15.88671875" style="12" customWidth="1"/>
    <col min="8" max="8" width="2.6640625" style="12" customWidth="1"/>
    <col min="9" max="16384" width="11.5546875" style="12"/>
  </cols>
  <sheetData>
    <row r="2" spans="2:7" x14ac:dyDescent="0.4">
      <c r="B2" s="29" t="s">
        <v>2</v>
      </c>
      <c r="C2" s="29" t="s">
        <v>11</v>
      </c>
      <c r="D2" s="29"/>
      <c r="E2" s="29"/>
      <c r="F2" s="29"/>
      <c r="G2" s="29"/>
    </row>
    <row r="3" spans="2:7" x14ac:dyDescent="0.4">
      <c r="B3" s="29"/>
      <c r="C3" s="6" t="s">
        <v>6</v>
      </c>
      <c r="D3" s="6" t="s">
        <v>7</v>
      </c>
      <c r="E3" s="6" t="s">
        <v>8</v>
      </c>
      <c r="F3" s="6" t="s">
        <v>10</v>
      </c>
      <c r="G3" s="6" t="s">
        <v>9</v>
      </c>
    </row>
    <row r="4" spans="2:7" x14ac:dyDescent="0.4">
      <c r="B4" s="9">
        <v>0</v>
      </c>
      <c r="C4" s="5"/>
      <c r="D4" s="5">
        <f>(1+((1.4-1)/(2))*$B4^2)^(-1)</f>
        <v>1</v>
      </c>
      <c r="E4" s="5">
        <v>0</v>
      </c>
      <c r="F4" s="5">
        <f>$D4^((1.4)/(1.4-1))</f>
        <v>1</v>
      </c>
      <c r="G4" s="5">
        <f>$D4^((1)/(1.4-1))</f>
        <v>1</v>
      </c>
    </row>
    <row r="5" spans="2:7" x14ac:dyDescent="0.4">
      <c r="B5" s="9">
        <v>0.1</v>
      </c>
      <c r="C5" s="5">
        <f t="shared" ref="C5:C34" si="0">((1)/($B5))*(((2)/(1.4+1))*(1+((1.4-1)/(2))*$B5^2))^((1.4+1)/(2*(1.4-1)))</f>
        <v>5.8218287500000008</v>
      </c>
      <c r="D5" s="5">
        <f t="shared" ref="D5:D34" si="1">(1+((1.4-1)/(2))*$B5^2)^(-1)</f>
        <v>0.99800399201596801</v>
      </c>
      <c r="E5" s="5">
        <f t="shared" ref="E5:E34" si="2">SQRT((1.4+1)/(((2)/($B5^2))+1.4-1))</f>
        <v>0.10943513103291656</v>
      </c>
      <c r="F5" s="5">
        <f t="shared" ref="F5:F34" si="3">$D5^((1.4)/(1.4-1))</f>
        <v>0.99303138487425191</v>
      </c>
      <c r="G5" s="5">
        <f t="shared" ref="G5:G34" si="4">$D5^((1)/(1.4-1))</f>
        <v>0.99501744764400046</v>
      </c>
    </row>
    <row r="6" spans="2:7" x14ac:dyDescent="0.4">
      <c r="B6" s="9">
        <v>0.2</v>
      </c>
      <c r="C6" s="5">
        <f t="shared" si="0"/>
        <v>2.9635200000000008</v>
      </c>
      <c r="D6" s="5">
        <f t="shared" si="1"/>
        <v>0.99206349206349209</v>
      </c>
      <c r="E6" s="5">
        <f t="shared" si="2"/>
        <v>0.21821789023599239</v>
      </c>
      <c r="F6" s="5">
        <f t="shared" si="3"/>
        <v>0.97249670295577673</v>
      </c>
      <c r="G6" s="5">
        <f t="shared" si="4"/>
        <v>0.98027667657942297</v>
      </c>
    </row>
    <row r="7" spans="2:7" x14ac:dyDescent="0.4">
      <c r="B7" s="9">
        <v>0.3</v>
      </c>
      <c r="C7" s="5">
        <f t="shared" si="0"/>
        <v>2.0350652623456793</v>
      </c>
      <c r="D7" s="5">
        <f t="shared" si="1"/>
        <v>0.98231827111984282</v>
      </c>
      <c r="E7" s="5">
        <f t="shared" si="2"/>
        <v>0.32571517201527939</v>
      </c>
      <c r="F7" s="5">
        <f t="shared" si="3"/>
        <v>0.93946969849401596</v>
      </c>
      <c r="G7" s="5">
        <f t="shared" si="4"/>
        <v>0.95638015306690827</v>
      </c>
    </row>
    <row r="8" spans="2:7" x14ac:dyDescent="0.4">
      <c r="B8" s="9">
        <v>0.4</v>
      </c>
      <c r="C8" s="5">
        <f t="shared" si="0"/>
        <v>1.5901400000000003</v>
      </c>
      <c r="D8" s="5">
        <f t="shared" si="1"/>
        <v>0.96899224806201545</v>
      </c>
      <c r="E8" s="5">
        <f t="shared" si="2"/>
        <v>0.4313310928137537</v>
      </c>
      <c r="F8" s="5">
        <f t="shared" si="3"/>
        <v>0.89561438304823826</v>
      </c>
      <c r="G8" s="5">
        <f t="shared" si="4"/>
        <v>0.92427404330578189</v>
      </c>
    </row>
    <row r="9" spans="2:7" x14ac:dyDescent="0.4">
      <c r="B9" s="9">
        <v>0.5</v>
      </c>
      <c r="C9" s="5">
        <f t="shared" si="0"/>
        <v>1.3398437500000004</v>
      </c>
      <c r="D9" s="5">
        <f t="shared" si="1"/>
        <v>0.95238095238095233</v>
      </c>
      <c r="E9" s="5">
        <f t="shared" si="2"/>
        <v>0.53452248382484879</v>
      </c>
      <c r="F9" s="5">
        <f t="shared" si="3"/>
        <v>0.843019175422553</v>
      </c>
      <c r="G9" s="5">
        <f t="shared" si="4"/>
        <v>0.88517013419368074</v>
      </c>
    </row>
    <row r="10" spans="2:7" x14ac:dyDescent="0.4">
      <c r="B10" s="9">
        <v>0.6</v>
      </c>
      <c r="C10" s="5">
        <f t="shared" si="0"/>
        <v>1.1881995061728399</v>
      </c>
      <c r="D10" s="5">
        <f t="shared" si="1"/>
        <v>0.93283582089552231</v>
      </c>
      <c r="E10" s="5">
        <f t="shared" si="2"/>
        <v>0.63481105427273843</v>
      </c>
      <c r="F10" s="5">
        <f t="shared" si="3"/>
        <v>0.78400395086944386</v>
      </c>
      <c r="G10" s="5">
        <f t="shared" si="4"/>
        <v>0.84045223533204383</v>
      </c>
    </row>
    <row r="11" spans="2:7" x14ac:dyDescent="0.4">
      <c r="B11" s="9">
        <v>0.7</v>
      </c>
      <c r="C11" s="5">
        <f t="shared" si="0"/>
        <v>1.0943726785714283</v>
      </c>
      <c r="D11" s="5">
        <f t="shared" si="1"/>
        <v>0.91074681238615673</v>
      </c>
      <c r="E11" s="5">
        <f t="shared" si="2"/>
        <v>0.73179172288504324</v>
      </c>
      <c r="F11" s="5">
        <f t="shared" si="3"/>
        <v>0.72092786099191564</v>
      </c>
      <c r="G11" s="5">
        <f t="shared" si="4"/>
        <v>0.79157879136912335</v>
      </c>
    </row>
    <row r="12" spans="2:7" x14ac:dyDescent="0.4">
      <c r="B12" s="9">
        <v>0.8</v>
      </c>
      <c r="C12" s="5">
        <f t="shared" si="0"/>
        <v>1.0382300000000004</v>
      </c>
      <c r="D12" s="5">
        <f t="shared" si="1"/>
        <v>0.88652482269503541</v>
      </c>
      <c r="E12" s="5">
        <f t="shared" si="2"/>
        <v>0.8251369970070348</v>
      </c>
      <c r="F12" s="5">
        <f t="shared" si="3"/>
        <v>0.65602161835897499</v>
      </c>
      <c r="G12" s="5">
        <f t="shared" si="4"/>
        <v>0.73999238550892388</v>
      </c>
    </row>
    <row r="13" spans="2:7" x14ac:dyDescent="0.4">
      <c r="B13" s="9">
        <v>0.9</v>
      </c>
      <c r="C13" s="5">
        <f t="shared" si="0"/>
        <v>1.0088628652263374</v>
      </c>
      <c r="D13" s="5">
        <f t="shared" si="1"/>
        <v>0.86058519793459554</v>
      </c>
      <c r="E13" s="5">
        <f t="shared" si="2"/>
        <v>0.91459762321603855</v>
      </c>
      <c r="F13" s="5">
        <f t="shared" si="3"/>
        <v>0.59126007183559093</v>
      </c>
      <c r="G13" s="5">
        <f t="shared" si="4"/>
        <v>0.68704420347295658</v>
      </c>
    </row>
    <row r="14" spans="2:7" x14ac:dyDescent="0.4">
      <c r="B14" s="9">
        <v>1</v>
      </c>
      <c r="C14" s="5">
        <f t="shared" si="0"/>
        <v>1</v>
      </c>
      <c r="D14" s="5">
        <f t="shared" si="1"/>
        <v>0.83333333333333337</v>
      </c>
      <c r="E14" s="5">
        <f t="shared" si="2"/>
        <v>1</v>
      </c>
      <c r="F14" s="5">
        <f t="shared" si="3"/>
        <v>0.52828178771717416</v>
      </c>
      <c r="G14" s="5">
        <f t="shared" si="4"/>
        <v>0.63393814526060888</v>
      </c>
    </row>
    <row r="15" spans="2:7" x14ac:dyDescent="0.4">
      <c r="B15" s="9">
        <v>1.1000000000000001</v>
      </c>
      <c r="C15" s="5">
        <f t="shared" si="0"/>
        <v>1.0079253409090911</v>
      </c>
      <c r="D15" s="5">
        <f t="shared" si="1"/>
        <v>0.80515297906602257</v>
      </c>
      <c r="E15" s="5">
        <f t="shared" si="2"/>
        <v>1.081241011802579</v>
      </c>
      <c r="F15" s="5">
        <f t="shared" si="3"/>
        <v>0.46835419504729736</v>
      </c>
      <c r="G15" s="5">
        <f t="shared" si="4"/>
        <v>0.58169591024874334</v>
      </c>
    </row>
    <row r="16" spans="2:7" x14ac:dyDescent="0.4">
      <c r="B16" s="9">
        <v>1.2</v>
      </c>
      <c r="C16" s="5">
        <f t="shared" si="0"/>
        <v>1.0304397530864196</v>
      </c>
      <c r="D16" s="5">
        <f t="shared" si="1"/>
        <v>0.77639751552795044</v>
      </c>
      <c r="E16" s="5">
        <f t="shared" si="2"/>
        <v>1.1582810137580164</v>
      </c>
      <c r="F16" s="5">
        <f t="shared" si="3"/>
        <v>0.41237704231114203</v>
      </c>
      <c r="G16" s="5">
        <f t="shared" si="4"/>
        <v>0.53114163049675089</v>
      </c>
    </row>
    <row r="17" spans="2:7" x14ac:dyDescent="0.4">
      <c r="B17" s="9">
        <v>1.3</v>
      </c>
      <c r="C17" s="5">
        <f t="shared" si="0"/>
        <v>1.0663045192307699</v>
      </c>
      <c r="D17" s="5">
        <f t="shared" si="1"/>
        <v>0.74738415545590431</v>
      </c>
      <c r="E17" s="5">
        <f t="shared" si="2"/>
        <v>1.2311356819069839</v>
      </c>
      <c r="F17" s="5">
        <f t="shared" si="3"/>
        <v>0.36091389540913593</v>
      </c>
      <c r="G17" s="5">
        <f t="shared" si="4"/>
        <v>0.48290279205742392</v>
      </c>
    </row>
    <row r="18" spans="2:7" x14ac:dyDescent="0.4">
      <c r="B18" s="9">
        <v>1.4</v>
      </c>
      <c r="C18" s="5">
        <f t="shared" si="0"/>
        <v>1.1149257142857143</v>
      </c>
      <c r="D18" s="5">
        <f t="shared" si="1"/>
        <v>0.71839080459770122</v>
      </c>
      <c r="E18" s="5">
        <f t="shared" si="2"/>
        <v>1.299867367239363</v>
      </c>
      <c r="F18" s="5">
        <f t="shared" si="3"/>
        <v>0.31424087582682697</v>
      </c>
      <c r="G18" s="5">
        <f t="shared" si="4"/>
        <v>0.43742329915094313</v>
      </c>
    </row>
    <row r="19" spans="2:7" x14ac:dyDescent="0.4">
      <c r="B19" s="9">
        <v>1.5</v>
      </c>
      <c r="C19" s="5">
        <f t="shared" si="0"/>
        <v>1.1761670524691357</v>
      </c>
      <c r="D19" s="5">
        <f t="shared" si="1"/>
        <v>0.68965517241379315</v>
      </c>
      <c r="E19" s="5">
        <f t="shared" si="2"/>
        <v>1.3645764784420262</v>
      </c>
      <c r="F19" s="5">
        <f t="shared" si="3"/>
        <v>0.27240306647665746</v>
      </c>
      <c r="G19" s="5">
        <f t="shared" si="4"/>
        <v>0.39498444639115327</v>
      </c>
    </row>
    <row r="20" spans="2:7" x14ac:dyDescent="0.4">
      <c r="B20" s="9">
        <v>1.6</v>
      </c>
      <c r="C20" s="5">
        <f t="shared" si="0"/>
        <v>1.250235</v>
      </c>
      <c r="D20" s="5">
        <f t="shared" si="1"/>
        <v>0.66137566137566139</v>
      </c>
      <c r="E20" s="5">
        <f t="shared" si="2"/>
        <v>1.4253932901995967</v>
      </c>
      <c r="F20" s="5">
        <f t="shared" si="3"/>
        <v>0.23527118012648238</v>
      </c>
      <c r="G20" s="5">
        <f t="shared" si="4"/>
        <v>0.35573002435124129</v>
      </c>
    </row>
    <row r="21" spans="2:7" x14ac:dyDescent="0.4">
      <c r="B21" s="9">
        <v>1.7</v>
      </c>
      <c r="C21" s="5">
        <f t="shared" si="0"/>
        <v>1.3376063970588237</v>
      </c>
      <c r="D21" s="5">
        <f t="shared" si="1"/>
        <v>0.63371356147021551</v>
      </c>
      <c r="E21" s="5">
        <f t="shared" si="2"/>
        <v>1.482470448669621</v>
      </c>
      <c r="F21" s="5">
        <f t="shared" si="3"/>
        <v>0.20259349840383614</v>
      </c>
      <c r="G21" s="5">
        <f t="shared" si="4"/>
        <v>0.3196925404812534</v>
      </c>
    </row>
    <row r="22" spans="2:7" x14ac:dyDescent="0.4">
      <c r="B22" s="9">
        <v>1.8</v>
      </c>
      <c r="C22" s="5">
        <f t="shared" si="0"/>
        <v>1.4389820576131689</v>
      </c>
      <c r="D22" s="5">
        <f t="shared" si="1"/>
        <v>0.60679611650485443</v>
      </c>
      <c r="E22" s="5">
        <f t="shared" si="2"/>
        <v>1.5359763347691506</v>
      </c>
      <c r="F22" s="5">
        <f t="shared" si="3"/>
        <v>0.17404028036546976</v>
      </c>
      <c r="G22" s="5">
        <f t="shared" si="4"/>
        <v>0.28681838204229415</v>
      </c>
    </row>
    <row r="23" spans="2:7" x14ac:dyDescent="0.4">
      <c r="B23" s="9">
        <v>1.9</v>
      </c>
      <c r="C23" s="5">
        <f t="shared" si="0"/>
        <v>1.5552567763157896</v>
      </c>
      <c r="D23" s="5">
        <f t="shared" si="1"/>
        <v>0.58072009291521487</v>
      </c>
      <c r="E23" s="5">
        <f t="shared" si="2"/>
        <v>1.5860893551463962</v>
      </c>
      <c r="F23" s="5">
        <f t="shared" si="3"/>
        <v>0.1492395686387889</v>
      </c>
      <c r="G23" s="5">
        <f t="shared" si="4"/>
        <v>0.25699053719599446</v>
      </c>
    </row>
    <row r="24" spans="2:7" x14ac:dyDescent="0.4">
      <c r="B24" s="9">
        <v>2</v>
      </c>
      <c r="C24" s="5">
        <f t="shared" si="0"/>
        <v>1.6875000000000004</v>
      </c>
      <c r="D24" s="5">
        <f t="shared" si="1"/>
        <v>0.55555555555555558</v>
      </c>
      <c r="E24" s="5">
        <f t="shared" si="2"/>
        <v>1.6329931618554521</v>
      </c>
      <c r="F24" s="5">
        <f t="shared" si="3"/>
        <v>0.12780452546295096</v>
      </c>
      <c r="G24" s="5">
        <f t="shared" si="4"/>
        <v>0.23004814583331168</v>
      </c>
    </row>
    <row r="25" spans="2:7" x14ac:dyDescent="0.4">
      <c r="B25" s="9">
        <v>2.1</v>
      </c>
      <c r="C25" s="5">
        <f t="shared" si="0"/>
        <v>1.8369436089065252</v>
      </c>
      <c r="D25" s="5">
        <f t="shared" si="1"/>
        <v>0.53134962805526043</v>
      </c>
      <c r="E25" s="5">
        <f t="shared" si="2"/>
        <v>1.6768727535708958</v>
      </c>
      <c r="F25" s="5">
        <f t="shared" si="3"/>
        <v>0.10935315892526694</v>
      </c>
      <c r="G25" s="5">
        <f t="shared" si="4"/>
        <v>0.20580264509735235</v>
      </c>
    </row>
    <row r="26" spans="2:7" x14ac:dyDescent="0.4">
      <c r="B26" s="9">
        <v>2.2000000000000002</v>
      </c>
      <c r="C26" s="5">
        <f t="shared" si="0"/>
        <v>2.0049745454545462</v>
      </c>
      <c r="D26" s="5">
        <f t="shared" si="1"/>
        <v>0.50813008130081305</v>
      </c>
      <c r="E26" s="5">
        <f t="shared" si="2"/>
        <v>1.7179113807746669</v>
      </c>
      <c r="F26" s="5">
        <f t="shared" si="3"/>
        <v>9.3521652196252178E-2</v>
      </c>
      <c r="G26" s="5">
        <f t="shared" si="4"/>
        <v>0.18405061152222429</v>
      </c>
    </row>
    <row r="27" spans="2:7" x14ac:dyDescent="0.4">
      <c r="B27" s="9">
        <v>2.2999999999999998</v>
      </c>
      <c r="C27" s="5">
        <f t="shared" si="0"/>
        <v>2.1931308152173914</v>
      </c>
      <c r="D27" s="5">
        <f t="shared" si="1"/>
        <v>0.48590864917395532</v>
      </c>
      <c r="E27" s="5">
        <f t="shared" si="2"/>
        <v>1.7562881611387888</v>
      </c>
      <c r="F27" s="5">
        <f t="shared" si="3"/>
        <v>7.9972597763428202E-2</v>
      </c>
      <c r="G27" s="5">
        <f t="shared" si="4"/>
        <v>0.16458360619713525</v>
      </c>
    </row>
    <row r="28" spans="2:7" x14ac:dyDescent="0.4">
      <c r="B28" s="9">
        <v>2.4</v>
      </c>
      <c r="C28" s="5">
        <f t="shared" si="0"/>
        <v>2.4030998765432106</v>
      </c>
      <c r="D28" s="5">
        <f t="shared" si="1"/>
        <v>0.46468401486988853</v>
      </c>
      <c r="E28" s="5">
        <f t="shared" si="2"/>
        <v>1.7921763057190185</v>
      </c>
      <c r="F28" s="5">
        <f t="shared" si="3"/>
        <v>6.8399364314233005E-2</v>
      </c>
      <c r="G28" s="5">
        <f t="shared" si="4"/>
        <v>0.14719543200422941</v>
      </c>
    </row>
    <row r="29" spans="2:7" x14ac:dyDescent="0.4">
      <c r="B29" s="9">
        <v>2.5</v>
      </c>
      <c r="C29" s="5">
        <f t="shared" si="0"/>
        <v>2.6367187500000004</v>
      </c>
      <c r="D29" s="5">
        <f t="shared" si="1"/>
        <v>0.44444444444444442</v>
      </c>
      <c r="E29" s="5">
        <f t="shared" si="2"/>
        <v>1.8257418583505538</v>
      </c>
      <c r="F29" s="5">
        <f t="shared" si="3"/>
        <v>5.8527663465935055E-2</v>
      </c>
      <c r="G29" s="5">
        <f t="shared" si="4"/>
        <v>0.13168724279835387</v>
      </c>
    </row>
    <row r="30" spans="2:7" x14ac:dyDescent="0.4">
      <c r="B30" s="9">
        <v>2.6</v>
      </c>
      <c r="C30" s="5">
        <f t="shared" si="0"/>
        <v>2.8959753846153848</v>
      </c>
      <c r="D30" s="5">
        <f t="shared" si="1"/>
        <v>0.42517006802721091</v>
      </c>
      <c r="E30" s="5">
        <f t="shared" si="2"/>
        <v>1.8571428571428572</v>
      </c>
      <c r="F30" s="5">
        <f t="shared" si="3"/>
        <v>5.0115190907340866E-2</v>
      </c>
      <c r="G30" s="5">
        <f t="shared" si="4"/>
        <v>0.11787092901406571</v>
      </c>
    </row>
    <row r="31" spans="2:7" x14ac:dyDescent="0.4">
      <c r="B31" s="9">
        <v>2.7</v>
      </c>
      <c r="C31" s="5">
        <f t="shared" si="0"/>
        <v>3.183010955075448</v>
      </c>
      <c r="D31" s="5">
        <f t="shared" si="1"/>
        <v>0.4068348250610252</v>
      </c>
      <c r="E31" s="5">
        <f t="shared" si="2"/>
        <v>1.8865288361522197</v>
      </c>
      <c r="F31" s="5">
        <f t="shared" si="3"/>
        <v>4.2950025407012211E-2</v>
      </c>
      <c r="G31" s="5">
        <f t="shared" si="4"/>
        <v>0.105571162450436</v>
      </c>
    </row>
    <row r="32" spans="2:7" x14ac:dyDescent="0.4">
      <c r="B32" s="9">
        <v>2.8</v>
      </c>
      <c r="C32" s="5">
        <f t="shared" si="0"/>
        <v>3.5001228571428573</v>
      </c>
      <c r="D32" s="5">
        <f t="shared" si="1"/>
        <v>0.38940809968847356</v>
      </c>
      <c r="E32" s="5">
        <f t="shared" si="2"/>
        <v>1.9140405956690569</v>
      </c>
      <c r="F32" s="5">
        <f t="shared" si="3"/>
        <v>3.6848297935959264E-2</v>
      </c>
      <c r="G32" s="5">
        <f t="shared" si="4"/>
        <v>9.4626429099543385E-2</v>
      </c>
    </row>
    <row r="33" spans="2:7" x14ac:dyDescent="0.4">
      <c r="B33" s="9">
        <v>2.9</v>
      </c>
      <c r="C33" s="5">
        <f t="shared" si="0"/>
        <v>3.8497682327586227</v>
      </c>
      <c r="D33" s="5">
        <f t="shared" si="1"/>
        <v>0.37285607755406419</v>
      </c>
      <c r="E33" s="5">
        <f t="shared" si="2"/>
        <v>1.9398101800628886</v>
      </c>
      <c r="F33" s="5">
        <f t="shared" si="3"/>
        <v>3.1651499719626247E-2</v>
      </c>
      <c r="G33" s="5">
        <f t="shared" si="4"/>
        <v>8.4889322248037552E-2</v>
      </c>
    </row>
    <row r="34" spans="2:7" x14ac:dyDescent="0.4">
      <c r="B34" s="9">
        <v>3</v>
      </c>
      <c r="C34" s="5">
        <f t="shared" si="0"/>
        <v>4.2345679012345698</v>
      </c>
      <c r="D34" s="5">
        <f t="shared" si="1"/>
        <v>0.35714285714285715</v>
      </c>
      <c r="E34" s="5">
        <f t="shared" si="2"/>
        <v>1.9639610121239313</v>
      </c>
      <c r="F34" s="5">
        <f t="shared" si="3"/>
        <v>2.7223683703862831E-2</v>
      </c>
      <c r="G34" s="5">
        <f t="shared" si="4"/>
        <v>7.6226314370815895E-2</v>
      </c>
    </row>
  </sheetData>
  <mergeCells count="2">
    <mergeCell ref="C2:G2"/>
    <mergeCell ref="B2:B3"/>
  </mergeCells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0D16-D85C-4FDC-9177-9539C8122763}">
  <dimension ref="B2:AO50"/>
  <sheetViews>
    <sheetView zoomScale="70" zoomScaleNormal="70" workbookViewId="0">
      <selection activeCell="AZ2" sqref="AZ2"/>
    </sheetView>
  </sheetViews>
  <sheetFormatPr baseColWidth="10" defaultColWidth="11.5546875" defaultRowHeight="15.6" x14ac:dyDescent="0.4"/>
  <cols>
    <col min="1" max="1" width="2.6640625" style="1" customWidth="1"/>
    <col min="2" max="41" width="8.88671875" style="1" customWidth="1"/>
    <col min="42" max="42" width="2.6640625" style="1" customWidth="1"/>
    <col min="43" max="16384" width="11.5546875" style="1"/>
  </cols>
  <sheetData>
    <row r="2" spans="2:41" ht="15.6" customHeight="1" x14ac:dyDescent="0.4">
      <c r="B2" s="29" t="s">
        <v>5</v>
      </c>
      <c r="C2" s="29"/>
      <c r="D2" s="31" t="s">
        <v>4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3"/>
    </row>
    <row r="3" spans="2:41" ht="15.6" customHeight="1" x14ac:dyDescent="0.4">
      <c r="B3" s="29"/>
      <c r="C3" s="29"/>
      <c r="D3" s="30">
        <v>1.1000000000000001</v>
      </c>
      <c r="E3" s="30"/>
      <c r="F3" s="30">
        <v>1.2</v>
      </c>
      <c r="G3" s="30"/>
      <c r="H3" s="30">
        <v>1.3</v>
      </c>
      <c r="I3" s="30"/>
      <c r="J3" s="30">
        <v>1.4</v>
      </c>
      <c r="K3" s="30"/>
      <c r="L3" s="30">
        <v>1.5</v>
      </c>
      <c r="M3" s="30"/>
      <c r="N3" s="30">
        <v>1.6</v>
      </c>
      <c r="O3" s="30"/>
      <c r="P3" s="30">
        <v>1.7</v>
      </c>
      <c r="Q3" s="30"/>
      <c r="R3" s="30">
        <v>1.8</v>
      </c>
      <c r="S3" s="30"/>
      <c r="T3" s="30">
        <v>1.9</v>
      </c>
      <c r="U3" s="30"/>
      <c r="V3" s="30">
        <v>2</v>
      </c>
      <c r="W3" s="30"/>
      <c r="X3" s="30">
        <v>2.1</v>
      </c>
      <c r="Y3" s="30"/>
      <c r="Z3" s="30">
        <v>2.2000000000000002</v>
      </c>
      <c r="AA3" s="30"/>
      <c r="AB3" s="30">
        <v>2.2999999999999998</v>
      </c>
      <c r="AC3" s="30"/>
      <c r="AD3" s="30">
        <v>2.4</v>
      </c>
      <c r="AE3" s="30"/>
      <c r="AF3" s="30">
        <v>3</v>
      </c>
      <c r="AG3" s="30"/>
      <c r="AH3" s="30">
        <v>4</v>
      </c>
      <c r="AI3" s="30"/>
      <c r="AJ3" s="30">
        <v>5</v>
      </c>
      <c r="AK3" s="30"/>
      <c r="AL3" s="30">
        <v>10</v>
      </c>
      <c r="AM3" s="30"/>
      <c r="AN3" s="30">
        <v>100000</v>
      </c>
      <c r="AO3" s="30"/>
    </row>
    <row r="4" spans="2:41" ht="15.6" customHeight="1" x14ac:dyDescent="0.4">
      <c r="B4" s="11" t="s">
        <v>0</v>
      </c>
      <c r="C4" s="11" t="s">
        <v>1</v>
      </c>
      <c r="D4" s="6" t="s">
        <v>1</v>
      </c>
      <c r="E4" s="6" t="s">
        <v>0</v>
      </c>
      <c r="F4" s="6" t="s">
        <v>1</v>
      </c>
      <c r="G4" s="6" t="s">
        <v>0</v>
      </c>
      <c r="H4" s="6" t="s">
        <v>1</v>
      </c>
      <c r="I4" s="6" t="s">
        <v>0</v>
      </c>
      <c r="J4" s="6" t="s">
        <v>1</v>
      </c>
      <c r="K4" s="6" t="s">
        <v>0</v>
      </c>
      <c r="L4" s="6" t="s">
        <v>1</v>
      </c>
      <c r="M4" s="6" t="s">
        <v>0</v>
      </c>
      <c r="N4" s="6" t="s">
        <v>1</v>
      </c>
      <c r="O4" s="6" t="s">
        <v>0</v>
      </c>
      <c r="P4" s="6" t="s">
        <v>1</v>
      </c>
      <c r="Q4" s="6" t="s">
        <v>0</v>
      </c>
      <c r="R4" s="6" t="s">
        <v>1</v>
      </c>
      <c r="S4" s="6" t="s">
        <v>0</v>
      </c>
      <c r="T4" s="6" t="s">
        <v>1</v>
      </c>
      <c r="U4" s="6" t="s">
        <v>0</v>
      </c>
      <c r="V4" s="6" t="s">
        <v>1</v>
      </c>
      <c r="W4" s="6" t="s">
        <v>0</v>
      </c>
      <c r="X4" s="6" t="s">
        <v>1</v>
      </c>
      <c r="Y4" s="6" t="s">
        <v>0</v>
      </c>
      <c r="Z4" s="6" t="s">
        <v>1</v>
      </c>
      <c r="AA4" s="6" t="s">
        <v>0</v>
      </c>
      <c r="AB4" s="6" t="s">
        <v>1</v>
      </c>
      <c r="AC4" s="6" t="s">
        <v>0</v>
      </c>
      <c r="AD4" s="6" t="s">
        <v>1</v>
      </c>
      <c r="AE4" s="6" t="s">
        <v>0</v>
      </c>
      <c r="AF4" s="6" t="s">
        <v>1</v>
      </c>
      <c r="AG4" s="6" t="s">
        <v>0</v>
      </c>
      <c r="AH4" s="6" t="s">
        <v>1</v>
      </c>
      <c r="AI4" s="6" t="s">
        <v>0</v>
      </c>
      <c r="AJ4" s="6" t="s">
        <v>1</v>
      </c>
      <c r="AK4" s="6" t="s">
        <v>0</v>
      </c>
      <c r="AL4" s="6" t="s">
        <v>1</v>
      </c>
      <c r="AM4" s="6" t="s">
        <v>0</v>
      </c>
      <c r="AN4" s="6" t="s">
        <v>1</v>
      </c>
      <c r="AO4" s="6" t="s">
        <v>0</v>
      </c>
    </row>
    <row r="5" spans="2:41" ht="15.6" customHeight="1" x14ac:dyDescent="0.4">
      <c r="B5" s="9">
        <v>0</v>
      </c>
      <c r="C5" s="10"/>
      <c r="D5" s="3"/>
      <c r="E5" s="3"/>
      <c r="F5" s="3"/>
      <c r="G5" s="3"/>
      <c r="H5" s="3"/>
      <c r="I5" s="3"/>
      <c r="J5" s="3"/>
      <c r="K5" s="3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2"/>
      <c r="AG5" s="2"/>
      <c r="AH5" s="2"/>
      <c r="AI5" s="2"/>
      <c r="AJ5" s="2"/>
      <c r="AK5" s="2"/>
      <c r="AL5" s="2"/>
      <c r="AM5" s="2"/>
      <c r="AN5" s="2"/>
      <c r="AO5" s="2">
        <v>0</v>
      </c>
    </row>
    <row r="6" spans="2:41" ht="15.6" customHeight="1" x14ac:dyDescent="0.4">
      <c r="B6" s="9">
        <v>2</v>
      </c>
      <c r="C6" s="10">
        <f t="shared" ref="C6:C50" si="0">B6*PI()/180</f>
        <v>3.4906585039886591E-2</v>
      </c>
      <c r="D6" s="3">
        <f>ATAN(_xlfn.COT($C6)*((D$3^2*(SIN($C6))^2-1)/(1+(((1.4+1)/(2))-(SIN($C6))^2)*D$3^2)))</f>
        <v>-1.4853046552713629</v>
      </c>
      <c r="E6" s="3">
        <f>D6*180/PI()</f>
        <v>-85.101688038182758</v>
      </c>
      <c r="F6" s="3">
        <f>ATAN(_xlfn.COT($C6)*((F$3^2*(SIN($C6))^2-1)/(1+(((1.4+1)/(2))-(SIN($C6))^2)*F$3^2)))</f>
        <v>-1.4757140220067924</v>
      </c>
      <c r="G6" s="3">
        <f>F6*180/PI()</f>
        <v>-84.552185229265092</v>
      </c>
      <c r="H6" s="3">
        <f>ATAN(_xlfn.COT($C6)*((H$3^2*(SIN($C6))^2-1)/(1+(((1.4+1)/(2))-(SIN($C6))^2)*H$3^2)))</f>
        <v>-1.4653032498666734</v>
      </c>
      <c r="I6" s="3">
        <f>H6*180/PI()</f>
        <v>-83.955691924163887</v>
      </c>
      <c r="J6" s="3">
        <f>ATAN(_xlfn.COT($C6)*((J$3^2*(SIN($C6))^2-1)/(1+(((1.4+1)/(2))-(SIN($C6))^2)*J$3^2)))</f>
        <v>-1.4540782910048389</v>
      </c>
      <c r="K6" s="3">
        <f>J6*180/PI()</f>
        <v>-83.312549156172807</v>
      </c>
      <c r="L6" s="3">
        <f>ATAN(_xlfn.COT($C6)*((L$3^2*(SIN($C6))^2-1)/(1+(((1.4+1)/(2))-(SIN($C6))^2)*L$3^2)))</f>
        <v>-1.4420465401665747</v>
      </c>
      <c r="M6" s="3">
        <f>L6*180/PI()</f>
        <v>-82.623180612987284</v>
      </c>
      <c r="N6" s="3">
        <f>ATAN(_xlfn.COT($C6)*((N$3^2*(SIN($C6))^2-1)/(1+(((1.4+1)/(2))-(SIN($C6))^2)*N$3^2)))</f>
        <v>-1.4292170350887259</v>
      </c>
      <c r="O6" s="3">
        <f>N6*180/PI()</f>
        <v>-81.888104118784881</v>
      </c>
      <c r="P6" s="3">
        <f>ATAN(_xlfn.COT($C6)*((P$3^2*(SIN($C6))^2-1)/(1+(((1.4+1)/(2))-(SIN($C6))^2)*P$3^2)))</f>
        <v>-1.4156006598572433</v>
      </c>
      <c r="Q6" s="3">
        <f>P6*180/PI()</f>
        <v>-81.107943285754459</v>
      </c>
      <c r="R6" s="3">
        <f>ATAN(_xlfn.COT($C6)*((R$3^2*(SIN($C6))^2-1)/(1+(((1.4+1)/(2))-(SIN($C6))^2)*R$3^2)))</f>
        <v>-1.4012103471629904</v>
      </c>
      <c r="S6" s="3">
        <f>R6*180/PI()</f>
        <v>-80.283439102500239</v>
      </c>
      <c r="T6" s="3">
        <f>ATAN(_xlfn.COT($C6)*((T$3^2*(SIN($C6))^2-1)/(1+(((1.4+1)/(2))-(SIN($C6))^2)*T$3^2)))</f>
        <v>-1.3860612747781034</v>
      </c>
      <c r="U6" s="3">
        <f>T6*180/PI()</f>
        <v>-79.415461191308026</v>
      </c>
      <c r="V6" s="3">
        <f>ATAN(_xlfn.COT($C6)*((V$3^2*(SIN($C6))^2-1)/(1+(((1.4+1)/(2))-(SIN($C6))^2)*V$3^2)))</f>
        <v>-1.3701710509920269</v>
      </c>
      <c r="W6" s="3">
        <f>V6*180/PI()</f>
        <v>-78.50501843284745</v>
      </c>
      <c r="X6" s="3">
        <f>ATAN(_xlfn.COT($C6)*((X$3^2*(SIN($C6))^2-1)/(1+(((1.4+1)/(2))-(SIN($C6))^2)*X$3^2)))</f>
        <v>-1.3535598832390436</v>
      </c>
      <c r="Y6" s="3">
        <f>X6*180/PI()</f>
        <v>-77.553268627817701</v>
      </c>
      <c r="Z6" s="3">
        <f>ATAN(_xlfn.COT($C6)*((Z$3^2*(SIN($C6))^2-1)/(1+(((1.4+1)/(2))-(SIN($C6))^2)*Z$3^2)))</f>
        <v>-1.3362507237636168</v>
      </c>
      <c r="AA6" s="3">
        <f>Z6*180/PI()</f>
        <v>-76.561526842956852</v>
      </c>
      <c r="AB6" s="3">
        <f>ATAN(_xlfn.COT($C6)*((AB$3^2*(SIN($C6))^2-1)/(1+(((1.4+1)/(2))-(SIN($C6))^2)*AB$3^2)))</f>
        <v>-1.3182693859553893</v>
      </c>
      <c r="AC6" s="3">
        <f>AB6*180/PI()</f>
        <v>-75.531272076546415</v>
      </c>
      <c r="AD6" s="3">
        <f>ATAN(_xlfn.COT($C6)*((AD$3^2*(SIN($C6))^2-1)/(1+(((1.4+1)/(2))-(SIN($C6))^2)*AD$3^2)))</f>
        <v>-1.2996446249915019</v>
      </c>
      <c r="AE6" s="3">
        <f>AD6*180/PI()</f>
        <v>-74.464151878875654</v>
      </c>
      <c r="AF6" s="3">
        <f>ATAN(_xlfn.COT($C6)*((AF$3^2*(SIN($C6))^2-1)/(1+(((1.4+1)/(2))-(SIN($C6))^2)*AF$3^2)))</f>
        <v>-1.1763644905143631</v>
      </c>
      <c r="AG6" s="3">
        <f>AF6*180/PI()</f>
        <v>-67.400720475530377</v>
      </c>
      <c r="AH6" s="3">
        <f>ATAN(_xlfn.COT($C6)*((AH$3^2*(SIN($C6))^2-1)/(1+(((1.4+1)/(2))-(SIN($C6))^2)*AH$3^2)))</f>
        <v>-0.94761331609360744</v>
      </c>
      <c r="AI6" s="3">
        <f>AH6*180/PI()</f>
        <v>-54.294243622560117</v>
      </c>
      <c r="AJ6" s="3">
        <f>ATAN(_xlfn.COT($C6)*((AJ$3^2*(SIN($C6))^2-1)/(1+(((1.4+1)/(2))-(SIN($C6))^2)*AJ$3^2)))</f>
        <v>-0.73087973606603251</v>
      </c>
      <c r="AK6" s="3">
        <f>AJ6*180/PI()</f>
        <v>-41.876324208219195</v>
      </c>
      <c r="AL6" s="3">
        <f>ATAN(_xlfn.COT($C6)*((AL$3^2*(SIN($C6))^2-1)/(1+(((1.4+1)/(2))-(SIN($C6))^2)*AL$3^2)))</f>
        <v>-0.20512160266835466</v>
      </c>
      <c r="AM6" s="3">
        <f>AL6*180/PI()</f>
        <v>-11.752602119856128</v>
      </c>
      <c r="AN6" s="3">
        <f>ATAN(_xlfn.COT($C6)*((AN$3^2*(SIN($C6))^2-1)/(1+(((1.4+1)/(2))-(SIN($C6))^2)*AN$3^2)))</f>
        <v>2.9086520117542959E-2</v>
      </c>
      <c r="AO6" s="3">
        <f>AN6*180/PI()</f>
        <v>1.6665348434575749</v>
      </c>
    </row>
    <row r="7" spans="2:41" ht="15.6" customHeight="1" x14ac:dyDescent="0.4">
      <c r="B7" s="9">
        <v>4</v>
      </c>
      <c r="C7" s="10">
        <f t="shared" si="0"/>
        <v>6.9813170079773182E-2</v>
      </c>
      <c r="D7" s="3">
        <f t="shared" ref="D7:D50" si="1">ATAN(_xlfn.COT($C7)*((D$3^2*(SIN($C7))^2-1)/(1+(((1.4+1)/(2))-(SIN($C7))^2)*D$3^2)))</f>
        <v>-1.400402874133527</v>
      </c>
      <c r="E7" s="3">
        <f t="shared" ref="E7:G30" si="2">D7*180/PI()</f>
        <v>-80.23717430584135</v>
      </c>
      <c r="F7" s="3">
        <f t="shared" ref="F7:AB29" si="3">ATAN(_xlfn.COT($C7)*((F$3^2*(SIN($C7))^2-1)/(1+(((1.4+1)/(2))-(SIN($C7))^2)*F$3^2)))</f>
        <v>-1.3814780453200144</v>
      </c>
      <c r="G7" s="3">
        <f t="shared" si="2"/>
        <v>-79.152861486819504</v>
      </c>
      <c r="H7" s="3">
        <f t="shared" si="3"/>
        <v>-1.3610146235336487</v>
      </c>
      <c r="I7" s="3">
        <f t="shared" ref="I7" si="4">H7*180/PI()</f>
        <v>-77.980393784064674</v>
      </c>
      <c r="J7" s="3">
        <f t="shared" si="3"/>
        <v>-1.3390574148874472</v>
      </c>
      <c r="K7" s="3">
        <f t="shared" ref="K7" si="5">J7*180/PI()</f>
        <v>-76.722338398749173</v>
      </c>
      <c r="L7" s="3">
        <f t="shared" si="3"/>
        <v>-1.3156611167740941</v>
      </c>
      <c r="M7" s="3">
        <f t="shared" ref="M7" si="6">L7*180/PI()</f>
        <v>-75.381829260624158</v>
      </c>
      <c r="N7" s="3">
        <f t="shared" si="3"/>
        <v>-1.2908911566967163</v>
      </c>
      <c r="O7" s="3">
        <f t="shared" ref="O7:Q7" si="7">N7*180/PI()</f>
        <v>-73.962615089482853</v>
      </c>
      <c r="P7" s="3">
        <f t="shared" si="3"/>
        <v>-1.2648243065494413</v>
      </c>
      <c r="Q7" s="3">
        <f t="shared" si="7"/>
        <v>-72.469094590844037</v>
      </c>
      <c r="R7" s="3">
        <f t="shared" si="3"/>
        <v>-1.2375490033784819</v>
      </c>
      <c r="S7" s="3">
        <f t="shared" ref="S7" si="8">R7*180/PI()</f>
        <v>-70.906334834208266</v>
      </c>
      <c r="T7" s="3">
        <f t="shared" si="3"/>
        <v>-1.2091653135034957</v>
      </c>
      <c r="U7" s="3">
        <f t="shared" ref="U7" si="9">T7*180/PI()</f>
        <v>-69.280069197363346</v>
      </c>
      <c r="V7" s="3">
        <f t="shared" si="3"/>
        <v>-1.179784489471339</v>
      </c>
      <c r="W7" s="3">
        <f t="shared" ref="W7" si="10">V7*180/PI()</f>
        <v>-67.596671981704233</v>
      </c>
      <c r="X7" s="3">
        <f t="shared" si="3"/>
        <v>-1.149528088851187</v>
      </c>
      <c r="Y7" s="3">
        <f t="shared" ref="Y7" si="11">X7*180/PI()</f>
        <v>-65.863107922912519</v>
      </c>
      <c r="Z7" s="3">
        <f t="shared" si="3"/>
        <v>-1.1185266495914197</v>
      </c>
      <c r="AA7" s="3">
        <f t="shared" ref="AA7" si="12">Z7*180/PI()</f>
        <v>-64.08685629449667</v>
      </c>
      <c r="AB7" s="3">
        <f t="shared" si="3"/>
        <v>-1.0869179466874921</v>
      </c>
      <c r="AC7" s="3">
        <f t="shared" ref="AC7" si="13">AB7*180/PI()</f>
        <v>-62.275811022218711</v>
      </c>
      <c r="AD7" s="3">
        <f t="shared" ref="AD7:AN29" si="14">ATAN(_xlfn.COT($C7)*((AD$3^2*(SIN($C7))^2-1)/(1+(((1.4+1)/(2))-(SIN($C7))^2)*AD$3^2)))</f>
        <v>-1.0548448863998348</v>
      </c>
      <c r="AE7" s="3">
        <f t="shared" ref="AE7:AG7" si="15">AD7*180/PI()</f>
        <v>-60.438160031667302</v>
      </c>
      <c r="AF7" s="3">
        <f t="shared" si="14"/>
        <v>-0.86068368862848876</v>
      </c>
      <c r="AG7" s="3">
        <f t="shared" si="15"/>
        <v>-49.31354285416429</v>
      </c>
      <c r="AH7" s="3">
        <f t="shared" si="14"/>
        <v>-0.58013515102237045</v>
      </c>
      <c r="AI7" s="3">
        <f t="shared" ref="AI7" si="16">AH7*180/PI()</f>
        <v>-33.239295700766455</v>
      </c>
      <c r="AJ7" s="3">
        <f t="shared" si="14"/>
        <v>-0.3863460344333573</v>
      </c>
      <c r="AK7" s="3">
        <f t="shared" ref="AK7" si="17">AJ7*180/PI()</f>
        <v>-22.135997204647353</v>
      </c>
      <c r="AL7" s="3">
        <f t="shared" si="14"/>
        <v>-6.0847571105163832E-2</v>
      </c>
      <c r="AM7" s="3">
        <f t="shared" ref="AM7" si="18">AL7*180/PI()</f>
        <v>-3.486309017948066</v>
      </c>
      <c r="AN7" s="3">
        <f t="shared" si="14"/>
        <v>5.8159227844574814E-2</v>
      </c>
      <c r="AO7" s="3">
        <f t="shared" ref="AO7" si="19">AN7*180/PI()</f>
        <v>3.3322782952338765</v>
      </c>
    </row>
    <row r="8" spans="2:41" ht="15.6" customHeight="1" x14ac:dyDescent="0.4">
      <c r="B8" s="9">
        <v>6</v>
      </c>
      <c r="C8" s="10">
        <f t="shared" si="0"/>
        <v>0.10471975511965977</v>
      </c>
      <c r="D8" s="3">
        <f t="shared" si="1"/>
        <v>-1.3166528543832738</v>
      </c>
      <c r="E8" s="3">
        <f t="shared" si="2"/>
        <v>-75.438651640014541</v>
      </c>
      <c r="F8" s="3">
        <f t="shared" si="3"/>
        <v>-1.2888824552645435</v>
      </c>
      <c r="G8" s="3">
        <f t="shared" si="2"/>
        <v>-73.847524975117466</v>
      </c>
      <c r="H8" s="3">
        <f t="shared" si="3"/>
        <v>-1.2590396118337503</v>
      </c>
      <c r="I8" s="3">
        <f t="shared" ref="I8" si="20">H8*180/PI()</f>
        <v>-72.13765599786332</v>
      </c>
      <c r="J8" s="3">
        <f t="shared" si="3"/>
        <v>-1.227261302466405</v>
      </c>
      <c r="K8" s="3">
        <f t="shared" ref="K8" si="21">J8*180/PI()</f>
        <v>-70.316892991053365</v>
      </c>
      <c r="L8" s="3">
        <f t="shared" si="3"/>
        <v>-1.1937101516484689</v>
      </c>
      <c r="M8" s="3">
        <f t="shared" ref="M8" si="22">L8*180/PI()</f>
        <v>-68.394553651378743</v>
      </c>
      <c r="N8" s="3">
        <f t="shared" si="3"/>
        <v>-1.1585742194723503</v>
      </c>
      <c r="O8" s="3">
        <f t="shared" ref="O8:Q8" si="23">N8*180/PI()</f>
        <v>-66.381413028429236</v>
      </c>
      <c r="P8" s="3">
        <f t="shared" si="3"/>
        <v>-1.1220654388055509</v>
      </c>
      <c r="Q8" s="3">
        <f t="shared" si="23"/>
        <v>-64.28961398105281</v>
      </c>
      <c r="R8" s="3">
        <f t="shared" si="3"/>
        <v>-1.0844166093272625</v>
      </c>
      <c r="S8" s="3">
        <f t="shared" ref="S8" si="24">R8*180/PI()</f>
        <v>-62.132494948339158</v>
      </c>
      <c r="T8" s="3">
        <f t="shared" si="3"/>
        <v>-1.0458769913409525</v>
      </c>
      <c r="U8" s="3">
        <f t="shared" ref="U8" si="25">T8*180/PI()</f>
        <v>-59.924337493677122</v>
      </c>
      <c r="V8" s="3">
        <f t="shared" si="3"/>
        <v>-1.0067066922782333</v>
      </c>
      <c r="W8" s="3">
        <f t="shared" ref="W8" si="26">V8*180/PI()</f>
        <v>-57.680044675118069</v>
      </c>
      <c r="X8" s="3">
        <f t="shared" si="3"/>
        <v>-0.96717018163197777</v>
      </c>
      <c r="Y8" s="3">
        <f t="shared" ref="Y8" si="27">X8*180/PI()</f>
        <v>-55.414769478413582</v>
      </c>
      <c r="Z8" s="3">
        <f t="shared" si="3"/>
        <v>-0.92752937995295637</v>
      </c>
      <c r="AA8" s="3">
        <f t="shared" ref="AA8" si="28">Z8*180/PI()</f>
        <v>-53.143518845690551</v>
      </c>
      <c r="AB8" s="3">
        <f t="shared" si="3"/>
        <v>-0.88803682297255671</v>
      </c>
      <c r="AC8" s="3">
        <f t="shared" ref="AC8" si="29">AB8*180/PI()</f>
        <v>-50.880762008533729</v>
      </c>
      <c r="AD8" s="3">
        <f t="shared" si="14"/>
        <v>-0.84892939154090929</v>
      </c>
      <c r="AE8" s="3">
        <f t="shared" ref="AE8:AG8" si="30">AD8*180/PI()</f>
        <v>-48.640071239903072</v>
      </c>
      <c r="AF8" s="3">
        <f t="shared" si="14"/>
        <v>-0.63261219277981318</v>
      </c>
      <c r="AG8" s="3">
        <f t="shared" si="30"/>
        <v>-36.246008714799707</v>
      </c>
      <c r="AH8" s="3">
        <f t="shared" si="14"/>
        <v>-0.37364280203154865</v>
      </c>
      <c r="AI8" s="3">
        <f t="shared" ref="AI8" si="31">AH8*180/PI()</f>
        <v>-21.408155601849877</v>
      </c>
      <c r="AJ8" s="3">
        <f t="shared" si="14"/>
        <v>-0.22137417045125557</v>
      </c>
      <c r="AK8" s="3">
        <f t="shared" ref="AK8" si="32">AJ8*180/PI()</f>
        <v>-12.683805660066643</v>
      </c>
      <c r="AL8" s="3">
        <f t="shared" si="14"/>
        <v>7.3490407505330951E-3</v>
      </c>
      <c r="AM8" s="3">
        <f t="shared" ref="AM8" si="33">AL8*180/PI()</f>
        <v>0.42106901847520128</v>
      </c>
      <c r="AN8" s="3">
        <f t="shared" si="14"/>
        <v>8.7204173228140211E-2</v>
      </c>
      <c r="AO8" s="3">
        <f t="shared" ref="AO8" si="34">AN8*180/PI()</f>
        <v>4.9964310819001581</v>
      </c>
    </row>
    <row r="9" spans="2:41" ht="15.6" customHeight="1" x14ac:dyDescent="0.4">
      <c r="B9" s="9">
        <v>8</v>
      </c>
      <c r="C9" s="10">
        <f t="shared" si="0"/>
        <v>0.13962634015954636</v>
      </c>
      <c r="D9" s="3">
        <f t="shared" si="1"/>
        <v>-1.2345638770247247</v>
      </c>
      <c r="E9" s="3">
        <f t="shared" si="2"/>
        <v>-70.735299692824711</v>
      </c>
      <c r="F9" s="3">
        <f t="shared" si="3"/>
        <v>-1.1986249187478524</v>
      </c>
      <c r="G9" s="3">
        <f t="shared" si="2"/>
        <v>-68.676149063463171</v>
      </c>
      <c r="H9" s="3">
        <f t="shared" si="3"/>
        <v>-1.1603154149912704</v>
      </c>
      <c r="I9" s="3">
        <f t="shared" ref="I9" si="35">H9*180/PI()</f>
        <v>-66.481176182970458</v>
      </c>
      <c r="J9" s="3">
        <f t="shared" si="3"/>
        <v>-1.1199194574417759</v>
      </c>
      <c r="K9" s="3">
        <f t="shared" ref="K9" si="36">J9*180/PI()</f>
        <v>-64.166658305994773</v>
      </c>
      <c r="L9" s="3">
        <f t="shared" si="3"/>
        <v>-1.077762272717242</v>
      </c>
      <c r="M9" s="3">
        <f t="shared" ref="M9" si="37">L9*180/PI()</f>
        <v>-61.751229545125597</v>
      </c>
      <c r="N9" s="3">
        <f t="shared" si="3"/>
        <v>-1.0342038961467428</v>
      </c>
      <c r="O9" s="3">
        <f t="shared" ref="O9:Q9" si="38">N9*180/PI()</f>
        <v>-59.255518405194465</v>
      </c>
      <c r="P9" s="3">
        <f t="shared" si="3"/>
        <v>-0.98962972394648385</v>
      </c>
      <c r="Q9" s="3">
        <f t="shared" si="38"/>
        <v>-56.701606462830263</v>
      </c>
      <c r="R9" s="3">
        <f t="shared" si="3"/>
        <v>-0.94443855173359503</v>
      </c>
      <c r="S9" s="3">
        <f t="shared" ref="S9" si="39">R9*180/PI()</f>
        <v>-54.112343023782849</v>
      </c>
      <c r="T9" s="3">
        <f t="shared" si="3"/>
        <v>-0.89902910534159075</v>
      </c>
      <c r="U9" s="3">
        <f t="shared" ref="U9" si="40">T9*180/PI()</f>
        <v>-51.510573395495449</v>
      </c>
      <c r="V9" s="3">
        <f t="shared" si="3"/>
        <v>-0.85378632266695287</v>
      </c>
      <c r="W9" s="3">
        <f t="shared" ref="W9" si="41">V9*180/PI()</f>
        <v>-48.918352894811093</v>
      </c>
      <c r="X9" s="3">
        <f t="shared" si="3"/>
        <v>-0.80906868697130263</v>
      </c>
      <c r="Y9" s="3">
        <f t="shared" ref="Y9" si="42">X9*180/PI()</f>
        <v>-46.356221099646781</v>
      </c>
      <c r="Z9" s="3">
        <f t="shared" si="3"/>
        <v>-0.76519773170249283</v>
      </c>
      <c r="AA9" s="3">
        <f t="shared" ref="AA9" si="43">Z9*180/PI()</f>
        <v>-43.842600519536752</v>
      </c>
      <c r="AB9" s="3">
        <f t="shared" ref="AB9:AB29" si="44">ATAN(_xlfn.COT($C9)*((AB$3^2*(SIN($C9))^2-1)/(1+(((1.4+1)/(2))-(SIN($C9))^2)*AB$3^2)))</f>
        <v>-0.72245048254240474</v>
      </c>
      <c r="AC9" s="3">
        <f t="shared" ref="AC9" si="45">AB9*180/PI()</f>
        <v>-41.393363556869552</v>
      </c>
      <c r="AD9" s="3">
        <f t="shared" si="14"/>
        <v>-0.68105516308072844</v>
      </c>
      <c r="AE9" s="3">
        <f t="shared" ref="AE9:AG9" si="46">AD9*180/PI()</f>
        <v>-39.021586460119742</v>
      </c>
      <c r="AF9" s="3">
        <f t="shared" si="14"/>
        <v>-0.46791607471115443</v>
      </c>
      <c r="AG9" s="3">
        <f t="shared" si="46"/>
        <v>-26.809616247277258</v>
      </c>
      <c r="AH9" s="3">
        <f t="shared" si="14"/>
        <v>-0.24203078292085545</v>
      </c>
      <c r="AI9" s="3">
        <f t="shared" ref="AI9" si="47">AH9*180/PI()</f>
        <v>-13.867342373612024</v>
      </c>
      <c r="AJ9" s="3">
        <f t="shared" si="14"/>
        <v>-0.11968768649465435</v>
      </c>
      <c r="AK9" s="3">
        <f t="shared" ref="AK9" si="48">AJ9*180/PI()</f>
        <v>-6.8575992958286358</v>
      </c>
      <c r="AL9" s="3">
        <f t="shared" si="14"/>
        <v>5.5932908212185169E-2</v>
      </c>
      <c r="AM9" s="3">
        <f t="shared" ref="AM9" si="49">AL9*180/PI()</f>
        <v>3.2047195764508332</v>
      </c>
      <c r="AN9" s="3">
        <f t="shared" si="14"/>
        <v>0.11620714952862575</v>
      </c>
      <c r="AO9" s="3">
        <f t="shared" ref="AO9" si="50">AN9*180/PI()</f>
        <v>6.6581792172359293</v>
      </c>
    </row>
    <row r="10" spans="2:41" ht="15.6" customHeight="1" x14ac:dyDescent="0.4">
      <c r="B10" s="9">
        <v>10</v>
      </c>
      <c r="C10" s="10">
        <f t="shared" si="0"/>
        <v>0.17453292519943295</v>
      </c>
      <c r="D10" s="3">
        <f t="shared" si="1"/>
        <v>-1.1545741975129669</v>
      </c>
      <c r="E10" s="3">
        <f t="shared" si="2"/>
        <v>-66.152228652196911</v>
      </c>
      <c r="F10" s="3">
        <f t="shared" si="3"/>
        <v>-1.1112766187011796</v>
      </c>
      <c r="G10" s="3">
        <f t="shared" si="2"/>
        <v>-63.671460123146439</v>
      </c>
      <c r="H10" s="3">
        <f t="shared" si="3"/>
        <v>-1.0655613868377105</v>
      </c>
      <c r="I10" s="3">
        <f t="shared" ref="I10" si="51">H10*180/PI()</f>
        <v>-61.052170277907685</v>
      </c>
      <c r="J10" s="3">
        <f t="shared" si="3"/>
        <v>-1.0178994242130601</v>
      </c>
      <c r="K10" s="3">
        <f t="shared" ref="K10" si="52">J10*180/PI()</f>
        <v>-58.321340976204944</v>
      </c>
      <c r="L10" s="3">
        <f t="shared" si="3"/>
        <v>-0.96880715161008646</v>
      </c>
      <c r="M10" s="3">
        <f t="shared" ref="M10" si="53">L10*180/PI()</f>
        <v>-55.508560949348826</v>
      </c>
      <c r="N10" s="3">
        <f t="shared" si="3"/>
        <v>-0.91882787401767918</v>
      </c>
      <c r="O10" s="3">
        <f t="shared" ref="O10:Q10" si="54">N10*180/PI()</f>
        <v>-52.644959280191131</v>
      </c>
      <c r="P10" s="3">
        <f t="shared" si="3"/>
        <v>-0.86850964372947492</v>
      </c>
      <c r="Q10" s="3">
        <f t="shared" si="54"/>
        <v>-49.761937052109673</v>
      </c>
      <c r="R10" s="3">
        <f t="shared" si="3"/>
        <v>-0.81838208577491323</v>
      </c>
      <c r="S10" s="3">
        <f t="shared" ref="S10" si="55">R10*180/PI()</f>
        <v>-46.88983954401585</v>
      </c>
      <c r="T10" s="3">
        <f t="shared" si="3"/>
        <v>-0.76893488576792368</v>
      </c>
      <c r="U10" s="3">
        <f t="shared" ref="U10" si="56">T10*180/PI()</f>
        <v>-44.056723674876096</v>
      </c>
      <c r="V10" s="3">
        <f t="shared" si="3"/>
        <v>-0.72060029094409028</v>
      </c>
      <c r="W10" s="3">
        <f t="shared" ref="W10" si="57">V10*180/PI()</f>
        <v>-41.287355386995564</v>
      </c>
      <c r="X10" s="3">
        <f t="shared" si="3"/>
        <v>-0.67374117486954876</v>
      </c>
      <c r="Y10" s="3">
        <f t="shared" ref="Y10" si="58">X10*180/PI()</f>
        <v>-38.602525804210707</v>
      </c>
      <c r="Z10" s="3">
        <f t="shared" si="3"/>
        <v>-0.62864520963214221</v>
      </c>
      <c r="AA10" s="3">
        <f t="shared" ref="AA10" si="59">Z10*180/PI()</f>
        <v>-36.018717323038636</v>
      </c>
      <c r="AB10" s="3">
        <f t="shared" si="44"/>
        <v>-0.58552474786674247</v>
      </c>
      <c r="AC10" s="3">
        <f t="shared" ref="AC10" si="60">AB10*180/PI()</f>
        <v>-33.548096853225999</v>
      </c>
      <c r="AD10" s="3">
        <f t="shared" si="14"/>
        <v>-0.54452134063591495</v>
      </c>
      <c r="AE10" s="3">
        <f t="shared" ref="AE10:AG10" si="61">AD10*180/PI()</f>
        <v>-31.198774673243374</v>
      </c>
      <c r="AF10" s="3">
        <f t="shared" si="14"/>
        <v>-0.34416417206627808</v>
      </c>
      <c r="AG10" s="3">
        <f t="shared" si="61"/>
        <v>-19.719154519011997</v>
      </c>
      <c r="AH10" s="3">
        <f t="shared" si="14"/>
        <v>-0.1477732358429332</v>
      </c>
      <c r="AI10" s="3">
        <f t="shared" ref="AI10" si="62">AH10*180/PI()</f>
        <v>-8.4667827387914141</v>
      </c>
      <c r="AJ10" s="3">
        <f t="shared" si="14"/>
        <v>-4.6122881603868938E-2</v>
      </c>
      <c r="AK10" s="3">
        <f t="shared" ref="AK10" si="63">AJ10*180/PI()</f>
        <v>-2.6426464548832755</v>
      </c>
      <c r="AL10" s="3">
        <f t="shared" si="14"/>
        <v>9.6573344866532976E-2</v>
      </c>
      <c r="AM10" s="3">
        <f t="shared" ref="AM10" si="64">AL10*180/PI()</f>
        <v>5.5332450743137347</v>
      </c>
      <c r="AN10" s="3">
        <f t="shared" si="14"/>
        <v>0.14515355042640213</v>
      </c>
      <c r="AO10" s="3">
        <f t="shared" ref="AO10" si="65">AN10*180/PI()</f>
        <v>8.3166858207722125</v>
      </c>
    </row>
    <row r="11" spans="2:41" ht="15.6" customHeight="1" x14ac:dyDescent="0.4">
      <c r="B11" s="9">
        <v>12</v>
      </c>
      <c r="C11" s="10">
        <f t="shared" si="0"/>
        <v>0.20943951023931953</v>
      </c>
      <c r="D11" s="3">
        <f t="shared" si="1"/>
        <v>-1.0770401669462495</v>
      </c>
      <c r="E11" s="3">
        <f t="shared" si="2"/>
        <v>-61.709855932085688</v>
      </c>
      <c r="F11" s="3">
        <f t="shared" si="3"/>
        <v>-1.0272685060627145</v>
      </c>
      <c r="G11" s="3">
        <f t="shared" si="2"/>
        <v>-58.85814982410276</v>
      </c>
      <c r="H11" s="3">
        <f t="shared" si="3"/>
        <v>-0.97526663614698839</v>
      </c>
      <c r="I11" s="3">
        <f t="shared" ref="I11" si="66">H11*180/PI()</f>
        <v>-55.878662151143331</v>
      </c>
      <c r="J11" s="3">
        <f t="shared" si="3"/>
        <v>-0.92170754762310414</v>
      </c>
      <c r="K11" s="3">
        <f t="shared" ref="K11" si="67">J11*180/PI()</f>
        <v>-52.809952424157203</v>
      </c>
      <c r="L11" s="3">
        <f t="shared" si="3"/>
        <v>-0.86729482781120859</v>
      </c>
      <c r="M11" s="3">
        <f t="shared" ref="M11" si="68">L11*180/PI()</f>
        <v>-49.69233322710771</v>
      </c>
      <c r="N11" s="3">
        <f t="shared" si="3"/>
        <v>-0.81272832155903441</v>
      </c>
      <c r="O11" s="3">
        <f t="shared" ref="O11:Q11" si="69">N11*180/PI()</f>
        <v>-46.565902716083905</v>
      </c>
      <c r="P11" s="3">
        <f t="shared" si="3"/>
        <v>-0.75866949978529874</v>
      </c>
      <c r="Q11" s="3">
        <f t="shared" si="69"/>
        <v>-43.46856038299893</v>
      </c>
      <c r="R11" s="3">
        <f t="shared" si="3"/>
        <v>-0.70571122407259312</v>
      </c>
      <c r="S11" s="3">
        <f t="shared" ref="S11" si="70">R11*180/PI()</f>
        <v>-40.434274694370728</v>
      </c>
      <c r="T11" s="3">
        <f t="shared" si="3"/>
        <v>-0.65435553291017823</v>
      </c>
      <c r="U11" s="3">
        <f t="shared" ref="U11" si="71">T11*180/PI()</f>
        <v>-37.491810336787054</v>
      </c>
      <c r="V11" s="3">
        <f t="shared" si="3"/>
        <v>-0.60500127708963769</v>
      </c>
      <c r="W11" s="3">
        <f t="shared" ref="W11" si="72">V11*180/PI()</f>
        <v>-34.664019777261103</v>
      </c>
      <c r="X11" s="3">
        <f t="shared" si="3"/>
        <v>-0.55794150709160872</v>
      </c>
      <c r="Y11" s="3">
        <f t="shared" ref="Y11" si="73">X11*180/PI()</f>
        <v>-31.967693571517668</v>
      </c>
      <c r="Z11" s="3">
        <f t="shared" si="3"/>
        <v>-0.51336900485136017</v>
      </c>
      <c r="AA11" s="3">
        <f t="shared" ref="AA11" si="74">Z11*180/PI()</f>
        <v>-29.413877310814019</v>
      </c>
      <c r="AB11" s="3">
        <f t="shared" si="44"/>
        <v>-0.47138753535831052</v>
      </c>
      <c r="AC11" s="3">
        <f t="shared" ref="AC11" si="75">AB11*180/PI()</f>
        <v>-27.008516291105057</v>
      </c>
      <c r="AD11" s="3">
        <f t="shared" si="14"/>
        <v>-0.4320262611977056</v>
      </c>
      <c r="AE11" s="3">
        <f t="shared" ref="AE11:AG11" si="76">AD11*180/PI()</f>
        <v>-24.753281405445055</v>
      </c>
      <c r="AF11" s="3">
        <f t="shared" si="14"/>
        <v>-0.24675750757083442</v>
      </c>
      <c r="AG11" s="3">
        <f t="shared" si="76"/>
        <v>-14.138163746976272</v>
      </c>
      <c r="AH11" s="3">
        <f t="shared" si="14"/>
        <v>-7.422824240074978E-2</v>
      </c>
      <c r="AI11" s="3">
        <f t="shared" ref="AI11" si="77">AH11*180/PI()</f>
        <v>-4.2529650102369878</v>
      </c>
      <c r="AJ11" s="3">
        <f t="shared" si="14"/>
        <v>1.2686036607802622E-2</v>
      </c>
      <c r="AK11" s="3">
        <f t="shared" ref="AK11" si="78">AJ11*180/PI()</f>
        <v>0.72685635637554979</v>
      </c>
      <c r="AL11" s="3">
        <f t="shared" si="14"/>
        <v>0.13318500589302049</v>
      </c>
      <c r="AM11" s="3">
        <f t="shared" ref="AM11" si="79">AL11*180/PI()</f>
        <v>7.6309387320950712</v>
      </c>
      <c r="AN11" s="3">
        <f t="shared" si="14"/>
        <v>0.17402822508042984</v>
      </c>
      <c r="AO11" s="3">
        <f t="shared" ref="AO11" si="80">AN11*180/PI()</f>
        <v>9.971082813261372</v>
      </c>
    </row>
    <row r="12" spans="2:41" ht="15.6" customHeight="1" x14ac:dyDescent="0.4">
      <c r="B12" s="9">
        <v>14</v>
      </c>
      <c r="C12" s="10">
        <f t="shared" si="0"/>
        <v>0.24434609527920614</v>
      </c>
      <c r="D12" s="3">
        <f t="shared" si="1"/>
        <v>-1.0022329610463994</v>
      </c>
      <c r="E12" s="3">
        <f t="shared" si="2"/>
        <v>-57.423718756858122</v>
      </c>
      <c r="F12" s="3">
        <f t="shared" si="3"/>
        <v>-0.94689269962549028</v>
      </c>
      <c r="G12" s="3">
        <f t="shared" si="2"/>
        <v>-54.252955340289382</v>
      </c>
      <c r="H12" s="3">
        <f t="shared" si="3"/>
        <v>-0.88970554161646243</v>
      </c>
      <c r="I12" s="3">
        <f t="shared" ref="I12" si="81">H12*180/PI()</f>
        <v>-50.976372544024315</v>
      </c>
      <c r="J12" s="3">
        <f t="shared" si="3"/>
        <v>-0.83153668973046324</v>
      </c>
      <c r="K12" s="3">
        <f t="shared" ref="K12" si="82">J12*180/PI()</f>
        <v>-47.643542831834971</v>
      </c>
      <c r="L12" s="3">
        <f t="shared" si="3"/>
        <v>-0.77324568722391662</v>
      </c>
      <c r="M12" s="3">
        <f t="shared" ref="M12" si="83">L12*180/PI()</f>
        <v>-44.303714404623342</v>
      </c>
      <c r="N12" s="3">
        <f t="shared" si="3"/>
        <v>-0.71563791440745783</v>
      </c>
      <c r="O12" s="3">
        <f t="shared" ref="O12:Q12" si="84">N12*180/PI()</f>
        <v>-41.003032155091788</v>
      </c>
      <c r="P12" s="3">
        <f t="shared" si="3"/>
        <v>-0.65942321135556625</v>
      </c>
      <c r="Q12" s="3">
        <f t="shared" si="84"/>
        <v>-37.782166923637206</v>
      </c>
      <c r="R12" s="3">
        <f t="shared" si="3"/>
        <v>-0.60518714652357719</v>
      </c>
      <c r="S12" s="3">
        <f t="shared" ref="S12" si="85">R12*180/PI()</f>
        <v>-34.674669311366323</v>
      </c>
      <c r="T12" s="3">
        <f t="shared" si="3"/>
        <v>-0.55337727947485627</v>
      </c>
      <c r="U12" s="3">
        <f t="shared" ref="U12" si="86">T12*180/PI()</f>
        <v>-31.706182592340699</v>
      </c>
      <c r="V12" s="3">
        <f t="shared" si="3"/>
        <v>-0.50430356315573732</v>
      </c>
      <c r="W12" s="3">
        <f t="shared" ref="W12" si="87">V12*180/PI()</f>
        <v>-28.894465762232912</v>
      </c>
      <c r="X12" s="3">
        <f t="shared" si="3"/>
        <v>-0.45814975870619551</v>
      </c>
      <c r="Y12" s="3">
        <f t="shared" ref="Y12" si="88">X12*180/PI()</f>
        <v>-26.250047558802045</v>
      </c>
      <c r="Z12" s="3">
        <f t="shared" si="3"/>
        <v>-0.41499177271040905</v>
      </c>
      <c r="AA12" s="3">
        <f t="shared" ref="AA12" si="89">Z12*180/PI()</f>
        <v>-23.777277108958774</v>
      </c>
      <c r="AB12" s="3">
        <f t="shared" si="44"/>
        <v>-0.37481900181931688</v>
      </c>
      <c r="AC12" s="3">
        <f t="shared" ref="AC12" si="90">AB12*180/PI()</f>
        <v>-21.475546885553182</v>
      </c>
      <c r="AD12" s="3">
        <f t="shared" si="14"/>
        <v>-0.33755562761363328</v>
      </c>
      <c r="AE12" s="3">
        <f t="shared" ref="AE12:AG12" si="91">AD12*180/PI()</f>
        <v>-19.340512813150855</v>
      </c>
      <c r="AF12" s="3">
        <f t="shared" si="14"/>
        <v>-0.16681236572102931</v>
      </c>
      <c r="AG12" s="3">
        <f t="shared" si="91"/>
        <v>-9.5576445264077474</v>
      </c>
      <c r="AH12" s="3">
        <f t="shared" si="14"/>
        <v>-1.323707883099005E-2</v>
      </c>
      <c r="AI12" s="3">
        <f t="shared" ref="AI12" si="92">AH12*180/PI()</f>
        <v>-0.75842875009769539</v>
      </c>
      <c r="AJ12" s="3">
        <f t="shared" si="14"/>
        <v>6.2808679989794114E-2</v>
      </c>
      <c r="AK12" s="3">
        <f t="shared" ref="AK12" si="93">AJ12*180/PI()</f>
        <v>3.5986722802029893</v>
      </c>
      <c r="AL12" s="3">
        <f t="shared" si="14"/>
        <v>0.16744248672428544</v>
      </c>
      <c r="AM12" s="3">
        <f t="shared" ref="AM12" si="94">AL12*180/PI()</f>
        <v>9.5937478004768728</v>
      </c>
      <c r="AN12" s="3">
        <f t="shared" si="14"/>
        <v>0.2028153217661148</v>
      </c>
      <c r="AO12" s="3">
        <f t="shared" ref="AO12" si="95">AN12*180/PI()</f>
        <v>11.62046195778616</v>
      </c>
    </row>
    <row r="13" spans="2:41" ht="15.6" customHeight="1" x14ac:dyDescent="0.4">
      <c r="B13" s="9">
        <v>16</v>
      </c>
      <c r="C13" s="10">
        <f t="shared" si="0"/>
        <v>0.27925268031909273</v>
      </c>
      <c r="D13" s="3">
        <f t="shared" si="1"/>
        <v>-0.93034185218763277</v>
      </c>
      <c r="E13" s="3">
        <f t="shared" si="2"/>
        <v>-53.304661634735233</v>
      </c>
      <c r="F13" s="3">
        <f t="shared" si="3"/>
        <v>-0.87031543503176312</v>
      </c>
      <c r="G13" s="3">
        <f t="shared" si="2"/>
        <v>-49.865401272412221</v>
      </c>
      <c r="H13" s="3">
        <f t="shared" si="3"/>
        <v>-0.80897125405714965</v>
      </c>
      <c r="I13" s="3">
        <f t="shared" ref="I13" si="96">H13*180/PI()</f>
        <v>-46.350638604880146</v>
      </c>
      <c r="J13" s="3">
        <f t="shared" si="3"/>
        <v>-0.74733736152811092</v>
      </c>
      <c r="K13" s="3">
        <f t="shared" ref="K13" si="97">J13*180/PI()</f>
        <v>-42.819276688003335</v>
      </c>
      <c r="L13" s="3">
        <f t="shared" si="3"/>
        <v>-0.68638220099199221</v>
      </c>
      <c r="M13" s="3">
        <f t="shared" ref="M13" si="98">L13*180/PI()</f>
        <v>-39.326803249741346</v>
      </c>
      <c r="N13" s="3">
        <f t="shared" si="3"/>
        <v>-0.6269580386870327</v>
      </c>
      <c r="O13" s="3">
        <f t="shared" ref="O13:Q13" si="99">N13*180/PI()</f>
        <v>-35.922049548566761</v>
      </c>
      <c r="P13" s="3">
        <f t="shared" si="3"/>
        <v>-0.56976162024336841</v>
      </c>
      <c r="Q13" s="3">
        <f t="shared" si="99"/>
        <v>-32.644936168480577</v>
      </c>
      <c r="R13" s="3">
        <f t="shared" si="3"/>
        <v>-0.51531585635710753</v>
      </c>
      <c r="S13" s="3">
        <f t="shared" ref="S13" si="100">R13*180/PI()</f>
        <v>-29.525423685432035</v>
      </c>
      <c r="T13" s="3">
        <f t="shared" si="3"/>
        <v>-0.46397130126205083</v>
      </c>
      <c r="U13" s="3">
        <f t="shared" ref="U13" si="101">T13*180/PI()</f>
        <v>-26.583597377508358</v>
      </c>
      <c r="V13" s="3">
        <f t="shared" si="3"/>
        <v>-0.41592266670671996</v>
      </c>
      <c r="W13" s="3">
        <f t="shared" ref="W13" si="102">V13*180/PI()</f>
        <v>-23.830613406121451</v>
      </c>
      <c r="X13" s="3">
        <f t="shared" si="3"/>
        <v>-0.37123425689968259</v>
      </c>
      <c r="Y13" s="3">
        <f t="shared" ref="Y13" si="103">X13*180/PI()</f>
        <v>-21.270156131027175</v>
      </c>
      <c r="Z13" s="3">
        <f t="shared" si="3"/>
        <v>-0.32986866962970146</v>
      </c>
      <c r="AA13" s="3">
        <f t="shared" ref="AA13" si="104">Z13*180/PI()</f>
        <v>-18.900082563377172</v>
      </c>
      <c r="AB13" s="3">
        <f t="shared" si="44"/>
        <v>-0.29171456941746476</v>
      </c>
      <c r="AC13" s="3">
        <f t="shared" ref="AC13" si="105">AB13*180/PI()</f>
        <v>-16.71401365009681</v>
      </c>
      <c r="AD13" s="3">
        <f t="shared" si="14"/>
        <v>-0.25661102441103018</v>
      </c>
      <c r="AE13" s="3">
        <f t="shared" ref="AE13:AG13" si="106">AD13*180/PI()</f>
        <v>-14.702728675280571</v>
      </c>
      <c r="AF13" s="3">
        <f t="shared" si="14"/>
        <v>-9.8880883265484207E-2</v>
      </c>
      <c r="AG13" s="3">
        <f t="shared" si="106"/>
        <v>-5.6654572856380145</v>
      </c>
      <c r="AH13" s="3">
        <f t="shared" si="14"/>
        <v>3.9587631082522036E-2</v>
      </c>
      <c r="AI13" s="3">
        <f t="shared" ref="AI13" si="107">AH13*180/PI()</f>
        <v>2.268204181949427</v>
      </c>
      <c r="AJ13" s="3">
        <f t="shared" si="14"/>
        <v>0.10736939934747712</v>
      </c>
      <c r="AK13" s="3">
        <f t="shared" ref="AK13" si="108">AJ13*180/PI()</f>
        <v>6.1518134314651336</v>
      </c>
      <c r="AL13" s="3">
        <f t="shared" si="14"/>
        <v>0.20017569139230754</v>
      </c>
      <c r="AM13" s="3">
        <f t="shared" ref="AM13" si="109">AL13*180/PI()</f>
        <v>11.469222277892463</v>
      </c>
      <c r="AN13" s="3">
        <f t="shared" si="14"/>
        <v>0.23149811692343267</v>
      </c>
      <c r="AO13" s="3">
        <f t="shared" ref="AO13" si="110">AN13*180/PI()</f>
        <v>13.26386506493875</v>
      </c>
    </row>
    <row r="14" spans="2:41" ht="15.6" customHeight="1" x14ac:dyDescent="0.4">
      <c r="B14" s="9">
        <v>18</v>
      </c>
      <c r="C14" s="10">
        <f t="shared" si="0"/>
        <v>0.31415926535897931</v>
      </c>
      <c r="D14" s="3">
        <f t="shared" si="1"/>
        <v>-0.86148230208236909</v>
      </c>
      <c r="E14" s="3">
        <f t="shared" si="2"/>
        <v>-49.359300034534002</v>
      </c>
      <c r="F14" s="3">
        <f t="shared" si="3"/>
        <v>-0.79759703980620311</v>
      </c>
      <c r="G14" s="3">
        <f t="shared" si="2"/>
        <v>-45.69894413302336</v>
      </c>
      <c r="H14" s="3">
        <f t="shared" si="3"/>
        <v>-0.7330169651520354</v>
      </c>
      <c r="I14" s="3">
        <f t="shared" ref="I14" si="111">H14*180/PI()</f>
        <v>-41.998778414699764</v>
      </c>
      <c r="J14" s="3">
        <f t="shared" si="3"/>
        <v>-0.66889230609188122</v>
      </c>
      <c r="K14" s="3">
        <f t="shared" ref="K14" si="112">J14*180/PI()</f>
        <v>-38.324706087837598</v>
      </c>
      <c r="L14" s="3">
        <f t="shared" si="3"/>
        <v>-0.60624900786207858</v>
      </c>
      <c r="M14" s="3">
        <f t="shared" ref="M14" si="113">L14*180/PI()</f>
        <v>-34.735509484490564</v>
      </c>
      <c r="N14" s="3">
        <f t="shared" si="3"/>
        <v>-0.54593252801782233</v>
      </c>
      <c r="O14" s="3">
        <f t="shared" ref="O14:Q14" si="114">N14*180/PI()</f>
        <v>-31.279629754328784</v>
      </c>
      <c r="P14" s="3">
        <f t="shared" si="3"/>
        <v>-0.48857914947765474</v>
      </c>
      <c r="Q14" s="3">
        <f t="shared" si="114"/>
        <v>-27.993523223160995</v>
      </c>
      <c r="R14" s="3">
        <f t="shared" si="3"/>
        <v>-0.43461439929098616</v>
      </c>
      <c r="S14" s="3">
        <f t="shared" ref="S14" si="115">R14*180/PI()</f>
        <v>-24.901570794987069</v>
      </c>
      <c r="T14" s="3">
        <f t="shared" si="3"/>
        <v>-0.3842724978717022</v>
      </c>
      <c r="U14" s="3">
        <f t="shared" ref="U14" si="116">T14*180/PI()</f>
        <v>-22.017192310998443</v>
      </c>
      <c r="V14" s="3">
        <f t="shared" si="3"/>
        <v>-0.33762836157921744</v>
      </c>
      <c r="W14" s="3">
        <f t="shared" ref="W14" si="117">V14*180/PI()</f>
        <v>-19.344680162406078</v>
      </c>
      <c r="X14" s="3">
        <f t="shared" si="3"/>
        <v>-0.29463416803481751</v>
      </c>
      <c r="Y14" s="3">
        <f t="shared" ref="Y14" si="118">X14*180/PI()</f>
        <v>-16.881294328743351</v>
      </c>
      <c r="Z14" s="3">
        <f t="shared" si="3"/>
        <v>-0.2551545974637135</v>
      </c>
      <c r="AA14" s="3">
        <f t="shared" ref="AA14" si="119">Z14*180/PI()</f>
        <v>-14.619281558030204</v>
      </c>
      <c r="AB14" s="3">
        <f t="shared" si="44"/>
        <v>-0.21899733000848079</v>
      </c>
      <c r="AC14" s="3">
        <f t="shared" ref="AC14" si="120">AB14*180/PI()</f>
        <v>-12.547622734119642</v>
      </c>
      <c r="AD14" s="3">
        <f t="shared" si="14"/>
        <v>-0.18593743449619982</v>
      </c>
      <c r="AE14" s="3">
        <f t="shared" ref="AE14:AG14" si="121">AD14*180/PI()</f>
        <v>-10.653430250122451</v>
      </c>
      <c r="AF14" s="3">
        <f t="shared" si="14"/>
        <v>-3.9524844257189821E-2</v>
      </c>
      <c r="AG14" s="3">
        <f t="shared" si="121"/>
        <v>-2.2646067618488663</v>
      </c>
      <c r="AH14" s="3">
        <f t="shared" si="14"/>
        <v>8.678800991080747E-2</v>
      </c>
      <c r="AI14" s="3">
        <f t="shared" ref="AI14" si="122">AH14*180/PI()</f>
        <v>4.9725866802288277</v>
      </c>
      <c r="AJ14" s="3">
        <f t="shared" si="14"/>
        <v>0.14812850010216724</v>
      </c>
      <c r="AK14" s="3">
        <f t="shared" ref="AK14" si="123">AJ14*180/PI()</f>
        <v>8.4871378814573664</v>
      </c>
      <c r="AL14" s="3">
        <f t="shared" si="14"/>
        <v>0.23183742309758951</v>
      </c>
      <c r="AM14" s="3">
        <f t="shared" ref="AM14" si="124">AL14*180/PI()</f>
        <v>13.283305876680668</v>
      </c>
      <c r="AN14" s="3">
        <f t="shared" si="14"/>
        <v>0.26005882566397276</v>
      </c>
      <c r="AO14" s="3">
        <f t="shared" ref="AO14" si="125">AN14*180/PI()</f>
        <v>14.900273135674098</v>
      </c>
    </row>
    <row r="15" spans="2:41" ht="15.6" customHeight="1" x14ac:dyDescent="0.4">
      <c r="B15" s="9">
        <v>20</v>
      </c>
      <c r="C15" s="10">
        <f t="shared" si="0"/>
        <v>0.3490658503988659</v>
      </c>
      <c r="D15" s="3">
        <f t="shared" si="1"/>
        <v>-0.79570697247941347</v>
      </c>
      <c r="E15" s="3">
        <f t="shared" si="2"/>
        <v>-45.59065125220274</v>
      </c>
      <c r="F15" s="3">
        <f t="shared" si="3"/>
        <v>-0.72871472138565085</v>
      </c>
      <c r="G15" s="3">
        <f t="shared" si="2"/>
        <v>-41.752278004449472</v>
      </c>
      <c r="H15" s="3">
        <f t="shared" si="3"/>
        <v>-0.66169701098193545</v>
      </c>
      <c r="I15" s="3">
        <f t="shared" ref="I15" si="126">H15*180/PI()</f>
        <v>-37.912446045686586</v>
      </c>
      <c r="J15" s="3">
        <f t="shared" si="3"/>
        <v>-0.59588213719782368</v>
      </c>
      <c r="K15" s="3">
        <f t="shared" ref="K15" si="127">J15*180/PI()</f>
        <v>-34.141531548670777</v>
      </c>
      <c r="L15" s="3">
        <f t="shared" si="3"/>
        <v>-0.53230629275187613</v>
      </c>
      <c r="M15" s="3">
        <f t="shared" ref="M15" si="128">L15*180/PI()</f>
        <v>-30.498903982937748</v>
      </c>
      <c r="N15" s="3">
        <f t="shared" si="3"/>
        <v>-0.47176606128282778</v>
      </c>
      <c r="O15" s="3">
        <f t="shared" ref="O15:Q15" si="129">N15*180/PI()</f>
        <v>-27.030204229016185</v>
      </c>
      <c r="P15" s="3">
        <f t="shared" si="3"/>
        <v>-0.41480671728731067</v>
      </c>
      <c r="Q15" s="3">
        <f t="shared" si="129"/>
        <v>-23.766674214239227</v>
      </c>
      <c r="R15" s="3">
        <f t="shared" si="3"/>
        <v>-0.36174018550378562</v>
      </c>
      <c r="S15" s="3">
        <f t="shared" ref="S15" si="130">R15*180/PI()</f>
        <v>-20.7261859096464</v>
      </c>
      <c r="T15" s="3">
        <f t="shared" si="3"/>
        <v>-0.31268182446830395</v>
      </c>
      <c r="U15" s="3">
        <f t="shared" ref="U15" si="131">T15*180/PI()</f>
        <v>-17.915348872484252</v>
      </c>
      <c r="V15" s="3">
        <f t="shared" si="3"/>
        <v>-0.26759499423558591</v>
      </c>
      <c r="W15" s="3">
        <f t="shared" ref="W15" si="132">V15*180/PI()</f>
        <v>-15.332063788526664</v>
      </c>
      <c r="X15" s="3">
        <f t="shared" si="3"/>
        <v>-0.22633495906434567</v>
      </c>
      <c r="Y15" s="3">
        <f t="shared" ref="Y15" si="133">X15*180/PI()</f>
        <v>-12.968037910653264</v>
      </c>
      <c r="Z15" s="3">
        <f t="shared" si="3"/>
        <v>-0.18868710032996777</v>
      </c>
      <c r="AA15" s="3">
        <f t="shared" ref="AA15" si="134">Z15*180/PI()</f>
        <v>-10.810974497468676</v>
      </c>
      <c r="AB15" s="3">
        <f t="shared" si="44"/>
        <v>-0.15439737078329704</v>
      </c>
      <c r="AC15" s="3">
        <f t="shared" ref="AC15" si="135">AB15*180/PI()</f>
        <v>-8.8463177137994062</v>
      </c>
      <c r="AD15" s="3">
        <f t="shared" si="14"/>
        <v>-0.12319491091074705</v>
      </c>
      <c r="AE15" s="3">
        <f t="shared" ref="AE15:AG15" si="136">AD15*180/PI()</f>
        <v>-7.058548452675983</v>
      </c>
      <c r="AF15" s="3">
        <f t="shared" si="14"/>
        <v>1.3497284394437131E-2</v>
      </c>
      <c r="AG15" s="3">
        <f t="shared" si="136"/>
        <v>0.7733374306890366</v>
      </c>
      <c r="AH15" s="3">
        <f t="shared" si="14"/>
        <v>0.12992615437846872</v>
      </c>
      <c r="AI15" s="3">
        <f t="shared" ref="AI15" si="137">AH15*180/PI()</f>
        <v>7.4442202942514388</v>
      </c>
      <c r="AJ15" s="3">
        <f t="shared" si="14"/>
        <v>0.1861461432540118</v>
      </c>
      <c r="AK15" s="3">
        <f t="shared" ref="AK15" si="138">AJ15*180/PI()</f>
        <v>10.665388381092498</v>
      </c>
      <c r="AL15" s="3">
        <f t="shared" si="14"/>
        <v>0.26269086140825992</v>
      </c>
      <c r="AM15" s="3">
        <f t="shared" ref="AM15" si="139">AL15*180/PI()</f>
        <v>15.051077675349326</v>
      </c>
      <c r="AN15" s="3">
        <f t="shared" si="14"/>
        <v>0.28847838908153162</v>
      </c>
      <c r="AO15" s="3">
        <f t="shared" ref="AO15" si="140">AN15*180/PI()</f>
        <v>16.528594175104608</v>
      </c>
    </row>
    <row r="16" spans="2:41" ht="15.6" customHeight="1" x14ac:dyDescent="0.4">
      <c r="B16" s="9">
        <v>22</v>
      </c>
      <c r="C16" s="10">
        <f t="shared" si="0"/>
        <v>0.38397243543875248</v>
      </c>
      <c r="D16" s="3">
        <f t="shared" si="1"/>
        <v>-0.73301793621327116</v>
      </c>
      <c r="E16" s="3">
        <f t="shared" si="2"/>
        <v>-41.998834052410231</v>
      </c>
      <c r="F16" s="3">
        <f t="shared" si="3"/>
        <v>-0.66358496608563511</v>
      </c>
      <c r="G16" s="3">
        <f t="shared" si="2"/>
        <v>-38.020617905038762</v>
      </c>
      <c r="H16" s="3">
        <f t="shared" si="3"/>
        <v>-0.59480299110372392</v>
      </c>
      <c r="I16" s="3">
        <f t="shared" ref="I16" si="141">H16*180/PI()</f>
        <v>-34.079701032000834</v>
      </c>
      <c r="J16" s="3">
        <f t="shared" si="3"/>
        <v>-0.52793680254319886</v>
      </c>
      <c r="K16" s="3">
        <f t="shared" ref="K16" si="142">J16*180/PI()</f>
        <v>-30.2485506353568</v>
      </c>
      <c r="L16" s="3">
        <f t="shared" si="3"/>
        <v>-0.46399446073700312</v>
      </c>
      <c r="M16" s="3">
        <f t="shared" ref="M16" si="143">L16*180/PI()</f>
        <v>-26.584924317678862</v>
      </c>
      <c r="N16" s="3">
        <f t="shared" si="3"/>
        <v>-0.40369505903086883</v>
      </c>
      <c r="O16" s="3">
        <f t="shared" ref="O16:Q16" si="144">N16*180/PI()</f>
        <v>-23.130023092753415</v>
      </c>
      <c r="P16" s="3">
        <f t="shared" si="3"/>
        <v>-0.34747733802722824</v>
      </c>
      <c r="Q16" s="3">
        <f t="shared" si="144"/>
        <v>-19.908984945400846</v>
      </c>
      <c r="R16" s="3">
        <f t="shared" si="3"/>
        <v>-0.29553699502429442</v>
      </c>
      <c r="S16" s="3">
        <f t="shared" ref="S16" si="145">R16*180/PI()</f>
        <v>-16.93302250487088</v>
      </c>
      <c r="T16" s="3">
        <f t="shared" si="3"/>
        <v>-0.24787813557920055</v>
      </c>
      <c r="U16" s="3">
        <f t="shared" ref="U16" si="146">T16*180/PI()</f>
        <v>-14.202371002259801</v>
      </c>
      <c r="V16" s="3">
        <f t="shared" si="3"/>
        <v>-0.20436673581823508</v>
      </c>
      <c r="W16" s="3">
        <f t="shared" ref="W16" si="147">V16*180/PI()</f>
        <v>-11.709351435249943</v>
      </c>
      <c r="X16" s="3">
        <f t="shared" si="3"/>
        <v>-0.16477839285676979</v>
      </c>
      <c r="Y16" s="3">
        <f t="shared" ref="Y16" si="148">X16*180/PI()</f>
        <v>-9.4411064656415409</v>
      </c>
      <c r="Z16" s="3">
        <f t="shared" si="3"/>
        <v>-0.12883683114167369</v>
      </c>
      <c r="AA16" s="3">
        <f t="shared" ref="AA16" si="149">Z16*180/PI()</f>
        <v>-7.3818066702575544</v>
      </c>
      <c r="AB16" s="3">
        <f t="shared" si="44"/>
        <v>-9.6242596550224851E-2</v>
      </c>
      <c r="AC16" s="3">
        <f t="shared" ref="AC16" si="150">AB16*180/PI()</f>
        <v>-5.5142945917082198</v>
      </c>
      <c r="AD16" s="3">
        <f t="shared" si="14"/>
        <v>-6.6693012683591166E-2</v>
      </c>
      <c r="AE16" s="3">
        <f t="shared" ref="AE16:AG16" si="151">AD16*180/PI()</f>
        <v>-3.8212281497822422</v>
      </c>
      <c r="AF16" s="3">
        <f t="shared" si="14"/>
        <v>6.1691950904027966E-2</v>
      </c>
      <c r="AG16" s="3">
        <f t="shared" si="151"/>
        <v>3.534688416729086</v>
      </c>
      <c r="AH16" s="3">
        <f t="shared" si="14"/>
        <v>0.17000704434788891</v>
      </c>
      <c r="AI16" s="3">
        <f t="shared" ref="AI16" si="152">AH16*180/PI()</f>
        <v>9.740686128627452</v>
      </c>
      <c r="AJ16" s="3">
        <f t="shared" si="14"/>
        <v>0.22209328245028873</v>
      </c>
      <c r="AK16" s="3">
        <f t="shared" ref="AK16" si="153">AJ16*180/PI()</f>
        <v>12.72500774260846</v>
      </c>
      <c r="AL16" s="3">
        <f t="shared" si="14"/>
        <v>0.29289479438022703</v>
      </c>
      <c r="AM16" s="3">
        <f t="shared" ref="AM16" si="154">AL16*180/PI()</f>
        <v>16.781635559339072</v>
      </c>
      <c r="AN16" s="3">
        <f t="shared" si="14"/>
        <v>0.31673623283040114</v>
      </c>
      <c r="AO16" s="3">
        <f t="shared" ref="AO16" si="155">AN16*180/PI()</f>
        <v>18.14764936005497</v>
      </c>
    </row>
    <row r="17" spans="2:41" ht="15.6" customHeight="1" x14ac:dyDescent="0.4">
      <c r="B17" s="9">
        <v>24</v>
      </c>
      <c r="C17" s="10">
        <f t="shared" si="0"/>
        <v>0.41887902047863906</v>
      </c>
      <c r="D17" s="3">
        <f t="shared" si="1"/>
        <v>-0.67337875872699471</v>
      </c>
      <c r="E17" s="3">
        <f t="shared" si="2"/>
        <v>-38.581760888814948</v>
      </c>
      <c r="F17" s="3">
        <f t="shared" si="3"/>
        <v>-0.60208354450002477</v>
      </c>
      <c r="G17" s="3">
        <f t="shared" si="2"/>
        <v>-34.496846014128508</v>
      </c>
      <c r="H17" s="3">
        <f t="shared" si="3"/>
        <v>-0.53209282229868982</v>
      </c>
      <c r="I17" s="3">
        <f t="shared" ref="I17" si="156">H17*180/PI()</f>
        <v>-30.486673026919423</v>
      </c>
      <c r="J17" s="3">
        <f t="shared" si="3"/>
        <v>-0.46467249159009533</v>
      </c>
      <c r="K17" s="3">
        <f t="shared" ref="K17" si="157">J17*180/PI()</f>
        <v>-26.623772623940702</v>
      </c>
      <c r="L17" s="3">
        <f t="shared" si="3"/>
        <v>-0.40077459429589707</v>
      </c>
      <c r="M17" s="3">
        <f t="shared" ref="M17" si="158">L17*180/PI()</f>
        <v>-22.962692789222739</v>
      </c>
      <c r="N17" s="3">
        <f t="shared" si="3"/>
        <v>-0.34102445455083608</v>
      </c>
      <c r="O17" s="3">
        <f t="shared" ref="O17:Q17" si="159">N17*180/PI()</f>
        <v>-19.539261956513869</v>
      </c>
      <c r="P17" s="3">
        <f t="shared" si="3"/>
        <v>-0.28575022898804009</v>
      </c>
      <c r="Q17" s="3">
        <f t="shared" si="159"/>
        <v>-16.372282115911528</v>
      </c>
      <c r="R17" s="3">
        <f t="shared" si="3"/>
        <v>-0.23503742546828368</v>
      </c>
      <c r="S17" s="3">
        <f t="shared" ref="S17" si="160">R17*180/PI()</f>
        <v>-13.466652506953302</v>
      </c>
      <c r="T17" s="3">
        <f t="shared" si="3"/>
        <v>-0.18879157038885619</v>
      </c>
      <c r="U17" s="3">
        <f t="shared" ref="U17" si="161">T17*180/PI()</f>
        <v>-10.816960190928466</v>
      </c>
      <c r="V17" s="3">
        <f t="shared" si="3"/>
        <v>-0.14679711142917301</v>
      </c>
      <c r="W17" s="3">
        <f t="shared" ref="W17" si="162">V17*180/PI()</f>
        <v>-8.4108549296032731</v>
      </c>
      <c r="X17" s="3">
        <f t="shared" si="3"/>
        <v>-0.10876631345300793</v>
      </c>
      <c r="Y17" s="3">
        <f t="shared" ref="Y17" si="163">X17*180/PI()</f>
        <v>-6.2318507140543415</v>
      </c>
      <c r="Z17" s="3">
        <f t="shared" si="3"/>
        <v>-7.4376323065231287E-2</v>
      </c>
      <c r="AA17" s="3">
        <f t="shared" ref="AA17" si="164">Z17*180/PI()</f>
        <v>-4.2614494073392706</v>
      </c>
      <c r="AB17" s="3">
        <f t="shared" si="44"/>
        <v>-4.3295218683936113E-2</v>
      </c>
      <c r="AC17" s="3">
        <f t="shared" ref="AC17" si="165">AB17*180/PI()</f>
        <v>-2.4806333036854857</v>
      </c>
      <c r="AD17" s="3">
        <f t="shared" si="14"/>
        <v>-1.5199032858751696E-2</v>
      </c>
      <c r="AE17" s="3">
        <f t="shared" ref="AE17:AG17" si="166">AD17*180/PI()</f>
        <v>-0.87084043548713053</v>
      </c>
      <c r="AF17" s="3">
        <f t="shared" si="14"/>
        <v>0.10609854333120143</v>
      </c>
      <c r="AG17" s="3">
        <f t="shared" si="166"/>
        <v>6.0789987453637284</v>
      </c>
      <c r="AH17" s="3">
        <f t="shared" si="14"/>
        <v>0.20770045979048107</v>
      </c>
      <c r="AI17" s="3">
        <f t="shared" ref="AI17" si="167">AH17*180/PI()</f>
        <v>11.900359748921224</v>
      </c>
      <c r="AJ17" s="3">
        <f t="shared" si="14"/>
        <v>0.25641016375913617</v>
      </c>
      <c r="AK17" s="3">
        <f t="shared" ref="AK17" si="168">AJ17*180/PI()</f>
        <v>14.691220207656798</v>
      </c>
      <c r="AL17" s="3">
        <f t="shared" si="14"/>
        <v>0.32254612833328067</v>
      </c>
      <c r="AM17" s="3">
        <f t="shared" ref="AM17" si="169">AL17*180/PI()</f>
        <v>18.480531851782004</v>
      </c>
      <c r="AN17" s="3">
        <f t="shared" si="14"/>
        <v>0.3448099903098743</v>
      </c>
      <c r="AO17" s="3">
        <f t="shared" ref="AO17" si="170">AN17*180/PI()</f>
        <v>19.756157178702612</v>
      </c>
    </row>
    <row r="18" spans="2:41" ht="15.6" customHeight="1" x14ac:dyDescent="0.4">
      <c r="B18" s="9">
        <v>26</v>
      </c>
      <c r="C18" s="10">
        <f t="shared" si="0"/>
        <v>0.4537856055185257</v>
      </c>
      <c r="D18" s="3">
        <f t="shared" si="1"/>
        <v>-0.61672556384802002</v>
      </c>
      <c r="E18" s="3">
        <f t="shared" si="2"/>
        <v>-35.335771926317527</v>
      </c>
      <c r="F18" s="3">
        <f t="shared" si="3"/>
        <v>-0.54406216703992805</v>
      </c>
      <c r="G18" s="3">
        <f t="shared" si="2"/>
        <v>-31.172465964129483</v>
      </c>
      <c r="H18" s="3">
        <f t="shared" si="3"/>
        <v>-0.47331252729146861</v>
      </c>
      <c r="I18" s="3">
        <f t="shared" ref="I18" si="171">H18*180/PI()</f>
        <v>-27.118810204471746</v>
      </c>
      <c r="J18" s="3">
        <f t="shared" si="3"/>
        <v>-0.40571607916166519</v>
      </c>
      <c r="K18" s="3">
        <f t="shared" ref="K18" si="172">J18*180/PI()</f>
        <v>-23.245819016559022</v>
      </c>
      <c r="L18" s="3">
        <f t="shared" si="3"/>
        <v>-0.34215104548800823</v>
      </c>
      <c r="M18" s="3">
        <f t="shared" ref="M18" si="173">L18*180/PI()</f>
        <v>-19.603810862451521</v>
      </c>
      <c r="N18" s="3">
        <f t="shared" si="3"/>
        <v>-0.2831426423794996</v>
      </c>
      <c r="O18" s="3">
        <f t="shared" ref="O18:Q18" si="174">N18*180/PI()</f>
        <v>-16.222878408527325</v>
      </c>
      <c r="P18" s="3">
        <f t="shared" si="3"/>
        <v>-0.22891222868944408</v>
      </c>
      <c r="Q18" s="3">
        <f t="shared" si="174"/>
        <v>-13.115704582838665</v>
      </c>
      <c r="R18" s="3">
        <f t="shared" si="3"/>
        <v>-0.17944594953768739</v>
      </c>
      <c r="S18" s="3">
        <f t="shared" ref="S18" si="175">R18*180/PI()</f>
        <v>-10.281495559227034</v>
      </c>
      <c r="T18" s="3">
        <f t="shared" si="3"/>
        <v>-0.13456520595918511</v>
      </c>
      <c r="U18" s="3">
        <f t="shared" ref="U18" si="176">T18*180/PI()</f>
        <v>-7.7100183707699816</v>
      </c>
      <c r="V18" s="3">
        <f t="shared" si="3"/>
        <v>-9.3988191026095402E-2</v>
      </c>
      <c r="W18" s="3">
        <f t="shared" ref="W18" si="177">V18*180/PI()</f>
        <v>-5.3851266698646247</v>
      </c>
      <c r="X18" s="3">
        <f t="shared" si="3"/>
        <v>-5.7378073977993091E-2</v>
      </c>
      <c r="Y18" s="3">
        <f t="shared" ref="Y18" si="178">X18*180/PI()</f>
        <v>-3.2875214755284188</v>
      </c>
      <c r="Z18" s="3">
        <f t="shared" si="3"/>
        <v>-2.4377653264411013E-2</v>
      </c>
      <c r="AA18" s="3">
        <f t="shared" ref="AA18" si="179">Z18*180/PI()</f>
        <v>-1.3967366464840649</v>
      </c>
      <c r="AB18" s="3">
        <f t="shared" si="44"/>
        <v>5.3675558775447317E-3</v>
      </c>
      <c r="AC18" s="3">
        <f t="shared" ref="AC18" si="180">AB18*180/PI()</f>
        <v>0.30753829808395206</v>
      </c>
      <c r="AD18" s="3">
        <f t="shared" si="14"/>
        <v>3.2195153156197441E-2</v>
      </c>
      <c r="AE18" s="3">
        <f t="shared" ref="AE18:AG18" si="181">AD18*180/PI()</f>
        <v>1.8446463966274051</v>
      </c>
      <c r="AF18" s="3">
        <f t="shared" si="14"/>
        <v>0.14744971751755254</v>
      </c>
      <c r="AG18" s="3">
        <f t="shared" si="181"/>
        <v>8.4482465041519621</v>
      </c>
      <c r="AH18" s="3">
        <f t="shared" si="14"/>
        <v>0.24346449852047997</v>
      </c>
      <c r="AI18" s="3">
        <f t="shared" ref="AI18" si="182">AH18*180/PI()</f>
        <v>13.949488226492578</v>
      </c>
      <c r="AJ18" s="3">
        <f t="shared" si="14"/>
        <v>0.28939271916302972</v>
      </c>
      <c r="AK18" s="3">
        <f t="shared" ref="AK18" si="183">AJ18*180/PI()</f>
        <v>16.580981429856305</v>
      </c>
      <c r="AL18" s="3">
        <f t="shared" si="14"/>
        <v>0.35170262160708932</v>
      </c>
      <c r="AM18" s="3">
        <f t="shared" ref="AM18" si="184">AL18*180/PI()</f>
        <v>20.151075861772814</v>
      </c>
      <c r="AN18" s="3">
        <f t="shared" si="14"/>
        <v>0.37267518235246688</v>
      </c>
      <c r="AO18" s="3">
        <f t="shared" ref="AO18" si="185">AN18*180/PI()</f>
        <v>21.352715078064691</v>
      </c>
    </row>
    <row r="19" spans="2:41" ht="15.6" customHeight="1" x14ac:dyDescent="0.4">
      <c r="B19" s="9">
        <v>28</v>
      </c>
      <c r="C19" s="10">
        <f t="shared" si="0"/>
        <v>0.48869219055841229</v>
      </c>
      <c r="D19" s="3">
        <f t="shared" si="1"/>
        <v>-0.5629765981133168</v>
      </c>
      <c r="E19" s="3">
        <f t="shared" si="2"/>
        <v>-32.256183036525755</v>
      </c>
      <c r="F19" s="3">
        <f t="shared" si="3"/>
        <v>-0.48936159030211429</v>
      </c>
      <c r="G19" s="3">
        <f t="shared" si="2"/>
        <v>-28.038353780121266</v>
      </c>
      <c r="H19" s="3">
        <f t="shared" si="3"/>
        <v>-0.41821159165002392</v>
      </c>
      <c r="I19" s="3">
        <f t="shared" ref="I19" si="186">H19*180/PI()</f>
        <v>-23.961759144994993</v>
      </c>
      <c r="J19" s="3">
        <f t="shared" si="3"/>
        <v>-0.35071999015226468</v>
      </c>
      <c r="K19" s="3">
        <f t="shared" ref="K19" si="187">J19*180/PI()</f>
        <v>-20.09477522659456</v>
      </c>
      <c r="L19" s="3">
        <f t="shared" si="3"/>
        <v>-0.2876820175666881</v>
      </c>
      <c r="M19" s="3">
        <f t="shared" ref="M19" si="188">L19*180/PI()</f>
        <v>-16.482965448379638</v>
      </c>
      <c r="N19" s="3">
        <f t="shared" si="3"/>
        <v>-0.22952374892755328</v>
      </c>
      <c r="O19" s="3">
        <f t="shared" ref="O19:Q19" si="189">N19*180/PI()</f>
        <v>-13.150742111569157</v>
      </c>
      <c r="P19" s="3">
        <f t="shared" si="3"/>
        <v>-0.17636835249985608</v>
      </c>
      <c r="Q19" s="3">
        <f t="shared" si="189"/>
        <v>-10.105162237917336</v>
      </c>
      <c r="R19" s="3">
        <f t="shared" si="3"/>
        <v>-0.12811556317866399</v>
      </c>
      <c r="S19" s="3">
        <f t="shared" ref="S19" si="190">R19*180/PI()</f>
        <v>-7.3404810600790995</v>
      </c>
      <c r="T19" s="3">
        <f t="shared" si="3"/>
        <v>-8.4517005876374118E-2</v>
      </c>
      <c r="U19" s="3">
        <f t="shared" ref="U19" si="191">T19*180/PI()</f>
        <v>-4.8424677337986139</v>
      </c>
      <c r="V19" s="3">
        <f t="shared" si="3"/>
        <v>-4.5238300257810914E-2</v>
      </c>
      <c r="W19" s="3">
        <f t="shared" ref="W19" si="192">V19*180/PI()</f>
        <v>-2.5919636771181489</v>
      </c>
      <c r="X19" s="3">
        <f t="shared" si="3"/>
        <v>-9.9053933674588812E-3</v>
      </c>
      <c r="Y19" s="3">
        <f t="shared" ref="Y19" si="193">X19*180/PI()</f>
        <v>-0.5675372343722721</v>
      </c>
      <c r="Z19" s="3">
        <f t="shared" si="3"/>
        <v>2.1863622872188071E-2</v>
      </c>
      <c r="AA19" s="3">
        <f t="shared" ref="AA19" si="194">Z19*180/PI()</f>
        <v>1.2526933154420714</v>
      </c>
      <c r="AB19" s="3">
        <f t="shared" si="44"/>
        <v>5.0438358799859549E-2</v>
      </c>
      <c r="AC19" s="3">
        <f t="shared" ref="AC19" si="195">AB19*180/PI()</f>
        <v>2.8899050847984884</v>
      </c>
      <c r="AD19" s="3">
        <f t="shared" si="14"/>
        <v>7.6164552508053873E-2</v>
      </c>
      <c r="AE19" s="3">
        <f t="shared" ref="AE19:AG19" si="196">AD19*180/PI()</f>
        <v>4.363907407214036</v>
      </c>
      <c r="AF19" s="3">
        <f t="shared" si="14"/>
        <v>0.18627025462364646</v>
      </c>
      <c r="AG19" s="3">
        <f t="shared" si="196"/>
        <v>10.672499438762152</v>
      </c>
      <c r="AH19" s="3">
        <f t="shared" si="14"/>
        <v>0.27761776204852429</v>
      </c>
      <c r="AI19" s="3">
        <f t="shared" ref="AI19" si="197">AH19*180/PI()</f>
        <v>15.906326083247601</v>
      </c>
      <c r="AJ19" s="3">
        <f t="shared" si="14"/>
        <v>0.32124224704019594</v>
      </c>
      <c r="AK19" s="3">
        <f t="shared" ref="AK19" si="198">AJ19*180/PI()</f>
        <v>18.40582495670219</v>
      </c>
      <c r="AL19" s="3">
        <f t="shared" si="14"/>
        <v>0.38039568701218129</v>
      </c>
      <c r="AM19" s="3">
        <f t="shared" ref="AM19" si="199">AL19*180/PI()</f>
        <v>21.79506741077741</v>
      </c>
      <c r="AN19" s="3">
        <f t="shared" si="14"/>
        <v>0.40030484346617867</v>
      </c>
      <c r="AO19" s="3">
        <f t="shared" ref="AO19" si="200">AN19*180/PI()</f>
        <v>22.935778049257106</v>
      </c>
    </row>
    <row r="20" spans="2:41" ht="15.6" customHeight="1" x14ac:dyDescent="0.4">
      <c r="B20" s="9">
        <v>30</v>
      </c>
      <c r="C20" s="10">
        <f t="shared" si="0"/>
        <v>0.52359877559829882</v>
      </c>
      <c r="D20" s="3">
        <f t="shared" si="1"/>
        <v>-0.51204011744706979</v>
      </c>
      <c r="E20" s="3">
        <f t="shared" si="2"/>
        <v>-29.337737671100086</v>
      </c>
      <c r="F20" s="3">
        <f t="shared" si="3"/>
        <v>-0.43782143478084445</v>
      </c>
      <c r="G20" s="3">
        <f t="shared" si="2"/>
        <v>-25.085320393304613</v>
      </c>
      <c r="H20" s="3">
        <f t="shared" si="3"/>
        <v>-0.36655312830891679</v>
      </c>
      <c r="I20" s="3">
        <f t="shared" ref="I20" si="201">H20*180/PI()</f>
        <v>-21.00194721941827</v>
      </c>
      <c r="J20" s="3">
        <f t="shared" si="3"/>
        <v>-0.29937024681043256</v>
      </c>
      <c r="K20" s="3">
        <f t="shared" ref="K20" si="202">J20*180/PI()</f>
        <v>-17.152651654027579</v>
      </c>
      <c r="L20" s="3">
        <f t="shared" si="3"/>
        <v>-0.23698267273185128</v>
      </c>
      <c r="M20" s="3">
        <f t="shared" ref="M20" si="203">L20*180/PI()</f>
        <v>-13.578106965265098</v>
      </c>
      <c r="N20" s="3">
        <f t="shared" si="3"/>
        <v>-0.17972327101672947</v>
      </c>
      <c r="O20" s="3">
        <f t="shared" ref="O20:Q20" si="204">N20*180/PI()</f>
        <v>-10.297384909544471</v>
      </c>
      <c r="P20" s="3">
        <f t="shared" si="3"/>
        <v>-0.12762822830777928</v>
      </c>
      <c r="Q20" s="3">
        <f t="shared" si="204"/>
        <v>-7.3125588287678536</v>
      </c>
      <c r="R20" s="3">
        <f t="shared" si="3"/>
        <v>-8.0524290250003322E-2</v>
      </c>
      <c r="S20" s="3">
        <f t="shared" ref="S20" si="205">R20*180/PI()</f>
        <v>-4.6137019796116352</v>
      </c>
      <c r="T20" s="3">
        <f t="shared" si="3"/>
        <v>-3.8106604350031749E-2</v>
      </c>
      <c r="U20" s="3">
        <f t="shared" ref="U20" si="206">T20*180/PI()</f>
        <v>-2.183347600831683</v>
      </c>
      <c r="V20" s="3">
        <f t="shared" si="3"/>
        <v>-8.0123445265981838E-17</v>
      </c>
      <c r="W20" s="3">
        <f t="shared" ref="W20" si="207">V20*180/PI()</f>
        <v>-4.5907352537882144E-15</v>
      </c>
      <c r="X20" s="3">
        <f t="shared" si="3"/>
        <v>3.4197128158218813E-2</v>
      </c>
      <c r="Y20" s="3">
        <f t="shared" ref="Y20" si="208">X20*180/PI()</f>
        <v>1.959351114933924</v>
      </c>
      <c r="Z20" s="3">
        <f t="shared" si="3"/>
        <v>6.4883905048969168E-2</v>
      </c>
      <c r="AA20" s="3">
        <f t="shared" ref="AA20" si="209">Z20*180/PI()</f>
        <v>3.7175739176335063</v>
      </c>
      <c r="AB20" s="3">
        <f t="shared" si="44"/>
        <v>9.2439536216095713E-2</v>
      </c>
      <c r="AC20" s="3">
        <f t="shared" ref="AC20" si="210">AB20*180/PI()</f>
        <v>5.2963952853290079</v>
      </c>
      <c r="AD20" s="3">
        <f t="shared" si="14"/>
        <v>0.1172139909094863</v>
      </c>
      <c r="AE20" s="3">
        <f t="shared" ref="AE20:AG20" si="211">AD20*180/PI()</f>
        <v>6.7158669789983625</v>
      </c>
      <c r="AF20" s="3">
        <f t="shared" si="14"/>
        <v>0.22293975555960727</v>
      </c>
      <c r="AG20" s="3">
        <f t="shared" si="211"/>
        <v>12.773507079243728</v>
      </c>
      <c r="AH20" s="3">
        <f t="shared" si="14"/>
        <v>0.31038326577286895</v>
      </c>
      <c r="AI20" s="3">
        <f t="shared" ref="AI20" si="212">AH20*180/PI()</f>
        <v>17.783651160272733</v>
      </c>
      <c r="AJ20" s="3">
        <f t="shared" si="14"/>
        <v>0.35209522159588547</v>
      </c>
      <c r="AK20" s="3">
        <f t="shared" ref="AK20" si="213">AJ20*180/PI()</f>
        <v>20.173570184167716</v>
      </c>
      <c r="AL20" s="3">
        <f t="shared" si="14"/>
        <v>0.40863785509759232</v>
      </c>
      <c r="AM20" s="3">
        <f t="shared" ref="AM20" si="214">AL20*180/PI()</f>
        <v>23.413224446370535</v>
      </c>
      <c r="AN20" s="3">
        <f t="shared" si="14"/>
        <v>0.42766908230692752</v>
      </c>
      <c r="AO20" s="3">
        <f t="shared" ref="AO20" si="215">AN20*180/PI()</f>
        <v>24.503633444419975</v>
      </c>
    </row>
    <row r="21" spans="2:41" ht="15.6" customHeight="1" x14ac:dyDescent="0.4">
      <c r="B21" s="9">
        <v>32</v>
      </c>
      <c r="C21" s="10">
        <f t="shared" si="0"/>
        <v>0.55850536063818546</v>
      </c>
      <c r="D21" s="3">
        <f t="shared" si="1"/>
        <v>-0.46382062915170752</v>
      </c>
      <c r="E21" s="3">
        <f t="shared" si="2"/>
        <v>-26.574964501495359</v>
      </c>
      <c r="F21" s="3">
        <f t="shared" si="3"/>
        <v>-0.3892871977132632</v>
      </c>
      <c r="G21" s="3">
        <f t="shared" si="2"/>
        <v>-22.304513447444812</v>
      </c>
      <c r="H21" s="3">
        <f t="shared" si="3"/>
        <v>-0.31812011656560935</v>
      </c>
      <c r="I21" s="3">
        <f t="shared" ref="I21" si="216">H21*180/PI()</f>
        <v>-18.226940057419203</v>
      </c>
      <c r="J21" s="3">
        <f t="shared" si="3"/>
        <v>-0.2513899597801923</v>
      </c>
      <c r="K21" s="3">
        <f t="shared" ref="K21" si="217">J21*180/PI()</f>
        <v>-14.403583707368531</v>
      </c>
      <c r="L21" s="3">
        <f t="shared" si="3"/>
        <v>-0.18972394742642623</v>
      </c>
      <c r="M21" s="3">
        <f t="shared" ref="M21" si="218">L21*180/PI()</f>
        <v>-10.870381460096139</v>
      </c>
      <c r="N21" s="3">
        <f t="shared" si="3"/>
        <v>-0.13337077025228408</v>
      </c>
      <c r="O21" s="3">
        <f t="shared" ref="O21:Q21" si="219">N21*180/PI()</f>
        <v>-7.6415822458648286</v>
      </c>
      <c r="P21" s="3">
        <f t="shared" si="3"/>
        <v>-8.2291942192398881E-2</v>
      </c>
      <c r="Q21" s="3">
        <f t="shared" si="219"/>
        <v>-4.7149809755590031</v>
      </c>
      <c r="R21" s="3">
        <f t="shared" si="3"/>
        <v>-3.6254174571252865E-2</v>
      </c>
      <c r="S21" s="3">
        <f t="shared" ref="S21" si="220">R21*180/PI()</f>
        <v>-2.0772111926633001</v>
      </c>
      <c r="T21" s="3">
        <f t="shared" si="3"/>
        <v>5.0919895727376367E-3</v>
      </c>
      <c r="U21" s="3">
        <f t="shared" ref="U21" si="221">T21*180/PI()</f>
        <v>0.29174951184248993</v>
      </c>
      <c r="V21" s="3">
        <f t="shared" si="3"/>
        <v>4.2152572889308043E-2</v>
      </c>
      <c r="W21" s="3">
        <f t="shared" ref="W21" si="222">V21*180/PI()</f>
        <v>2.4151645221749249</v>
      </c>
      <c r="X21" s="3">
        <f t="shared" si="3"/>
        <v>7.5348947707957581E-2</v>
      </c>
      <c r="Y21" s="3">
        <f t="shared" ref="Y21" si="223">X21*180/PI()</f>
        <v>4.3171766944179071</v>
      </c>
      <c r="Z21" s="3">
        <f t="shared" si="3"/>
        <v>0.10509167238310076</v>
      </c>
      <c r="AA21" s="3">
        <f t="shared" ref="AA21" si="224">Z21*180/PI()</f>
        <v>6.0213092895232245</v>
      </c>
      <c r="AB21" s="3">
        <f t="shared" si="44"/>
        <v>0.13176545052408034</v>
      </c>
      <c r="AC21" s="3">
        <f t="shared" ref="AC21" si="225">AB21*180/PI()</f>
        <v>7.5496042006696653</v>
      </c>
      <c r="AD21" s="3">
        <f t="shared" si="14"/>
        <v>0.15572171785944472</v>
      </c>
      <c r="AE21" s="3">
        <f t="shared" ref="AE21:AG21" si="226">AD21*180/PI()</f>
        <v>8.9221972118731578</v>
      </c>
      <c r="AF21" s="3">
        <f t="shared" si="14"/>
        <v>0.25773339284000463</v>
      </c>
      <c r="AG21" s="3">
        <f t="shared" si="226"/>
        <v>14.767035649319535</v>
      </c>
      <c r="AH21" s="3">
        <f t="shared" si="14"/>
        <v>0.34191601798607946</v>
      </c>
      <c r="AI21" s="3">
        <f t="shared" ref="AI21" si="227">AH21*180/PI()</f>
        <v>19.590344778521498</v>
      </c>
      <c r="AJ21" s="3">
        <f t="shared" si="14"/>
        <v>0.38204176861531303</v>
      </c>
      <c r="AK21" s="3">
        <f t="shared" ref="AK21" si="228">AJ21*180/PI()</f>
        <v>21.889380939370991</v>
      </c>
      <c r="AL21" s="3">
        <f t="shared" si="14"/>
        <v>0.43642718703795735</v>
      </c>
      <c r="AM21" s="3">
        <f t="shared" ref="AM21" si="229">AL21*180/PI()</f>
        <v>25.005435882041542</v>
      </c>
      <c r="AN21" s="3">
        <f t="shared" si="14"/>
        <v>0.45473456099356901</v>
      </c>
      <c r="AO21" s="3">
        <f t="shared" ref="AO21" si="230">AN21*180/PI()</f>
        <v>26.054371143665815</v>
      </c>
    </row>
    <row r="22" spans="2:41" ht="15.6" customHeight="1" x14ac:dyDescent="0.4">
      <c r="B22" s="9">
        <v>34</v>
      </c>
      <c r="C22" s="10">
        <f t="shared" si="0"/>
        <v>0.59341194567807209</v>
      </c>
      <c r="D22" s="3">
        <f t="shared" si="1"/>
        <v>-0.41822364375720433</v>
      </c>
      <c r="E22" s="3">
        <f t="shared" si="2"/>
        <v>-23.962449679870666</v>
      </c>
      <c r="F22" s="3">
        <f t="shared" si="3"/>
        <v>-0.34361500845491033</v>
      </c>
      <c r="G22" s="3">
        <f t="shared" si="2"/>
        <v>-19.687689761818461</v>
      </c>
      <c r="H22" s="3">
        <f t="shared" si="3"/>
        <v>-0.27271882364037825</v>
      </c>
      <c r="I22" s="3">
        <f t="shared" ref="I22" si="231">H22*180/PI()</f>
        <v>-15.625637588366295</v>
      </c>
      <c r="J22" s="3">
        <f t="shared" si="3"/>
        <v>-0.20653995310486967</v>
      </c>
      <c r="K22" s="3">
        <f t="shared" ref="K22" si="232">J22*180/PI()</f>
        <v>-11.833867613738974</v>
      </c>
      <c r="L22" s="3">
        <f t="shared" si="3"/>
        <v>-0.14562915732049722</v>
      </c>
      <c r="M22" s="3">
        <f t="shared" ref="M22" si="233">L22*180/PI()</f>
        <v>-8.3439360885111871</v>
      </c>
      <c r="N22" s="3">
        <f t="shared" si="3"/>
        <v>-9.0161724367424909E-2</v>
      </c>
      <c r="O22" s="3">
        <f t="shared" ref="O22:Q22" si="234">N22*180/PI()</f>
        <v>-5.1658862798752789</v>
      </c>
      <c r="P22" s="3">
        <f t="shared" si="3"/>
        <v>-4.0036960661194089E-2</v>
      </c>
      <c r="Q22" s="3">
        <f t="shared" si="234"/>
        <v>-2.2939488704177271</v>
      </c>
      <c r="R22" s="3">
        <f t="shared" si="3"/>
        <v>5.0264263431826278E-3</v>
      </c>
      <c r="S22" s="3">
        <f t="shared" ref="S22" si="235">R22*180/PI()</f>
        <v>0.28799301549774053</v>
      </c>
      <c r="T22" s="3">
        <f t="shared" si="3"/>
        <v>4.5412105922029961E-2</v>
      </c>
      <c r="U22" s="3">
        <f t="shared" ref="U22" si="236">T22*180/PI()</f>
        <v>2.6019220081333687</v>
      </c>
      <c r="V22" s="3">
        <f t="shared" si="3"/>
        <v>8.1548647118735496E-2</v>
      </c>
      <c r="W22" s="3">
        <f t="shared" ref="W22" si="237">V22*180/PI()</f>
        <v>4.6723933049052251</v>
      </c>
      <c r="X22" s="3">
        <f t="shared" si="3"/>
        <v>0.11387093771051704</v>
      </c>
      <c r="Y22" s="3">
        <f t="shared" ref="Y22" si="238">X22*180/PI()</f>
        <v>6.5243241400097158</v>
      </c>
      <c r="Z22" s="3">
        <f t="shared" si="3"/>
        <v>0.14279649933033609</v>
      </c>
      <c r="AA22" s="3">
        <f t="shared" ref="AA22" si="239">Z22*180/PI()</f>
        <v>8.1816367408709443</v>
      </c>
      <c r="AB22" s="3">
        <f t="shared" si="44"/>
        <v>0.16871249310432174</v>
      </c>
      <c r="AC22" s="3">
        <f t="shared" ref="AC22" si="240">AB22*180/PI()</f>
        <v>9.6665138060076394</v>
      </c>
      <c r="AD22" s="3">
        <f t="shared" si="14"/>
        <v>0.19196986860678747</v>
      </c>
      <c r="AE22" s="3">
        <f t="shared" ref="AE22:AG22" si="241">AD22*180/PI()</f>
        <v>10.99906326484988</v>
      </c>
      <c r="AF22" s="3">
        <f t="shared" si="14"/>
        <v>0.29084893883969221</v>
      </c>
      <c r="AG22" s="3">
        <f t="shared" si="241"/>
        <v>16.664416671372972</v>
      </c>
      <c r="AH22" s="3">
        <f t="shared" si="14"/>
        <v>0.37232075768696743</v>
      </c>
      <c r="AI22" s="3">
        <f t="shared" ref="AI22" si="242">AH22*180/PI()</f>
        <v>21.332408040576237</v>
      </c>
      <c r="AJ22" s="3">
        <f t="shared" si="14"/>
        <v>0.41113736739417833</v>
      </c>
      <c r="AK22" s="3">
        <f t="shared" ref="AK22" si="243">AJ22*180/PI()</f>
        <v>23.556435951805963</v>
      </c>
      <c r="AL22" s="3">
        <f t="shared" si="14"/>
        <v>0.46374983832106398</v>
      </c>
      <c r="AM22" s="3">
        <f t="shared" ref="AM22" si="244">AL22*180/PI()</f>
        <v>26.570908485671261</v>
      </c>
      <c r="AN22" s="3">
        <f t="shared" si="14"/>
        <v>0.48146387390485207</v>
      </c>
      <c r="AO22" s="3">
        <f t="shared" ref="AO22" si="245">AN22*180/PI()</f>
        <v>27.585847962766874</v>
      </c>
    </row>
    <row r="23" spans="2:41" ht="15.6" customHeight="1" x14ac:dyDescent="0.4">
      <c r="B23" s="9">
        <v>36</v>
      </c>
      <c r="C23" s="10">
        <f t="shared" si="0"/>
        <v>0.62831853071795862</v>
      </c>
      <c r="D23" s="3">
        <f t="shared" si="1"/>
        <v>-0.37515914673078149</v>
      </c>
      <c r="E23" s="3">
        <f t="shared" si="2"/>
        <v>-21.495035753402952</v>
      </c>
      <c r="F23" s="3">
        <f t="shared" si="3"/>
        <v>-0.30067464462271043</v>
      </c>
      <c r="G23" s="3">
        <f t="shared" si="2"/>
        <v>-17.227388143477199</v>
      </c>
      <c r="H23" s="3">
        <f t="shared" si="3"/>
        <v>-0.23018029445175647</v>
      </c>
      <c r="I23" s="3">
        <f t="shared" ref="I23" si="246">H23*180/PI()</f>
        <v>-13.188359399164204</v>
      </c>
      <c r="J23" s="3">
        <f t="shared" si="3"/>
        <v>-0.16461770960563504</v>
      </c>
      <c r="K23" s="3">
        <f t="shared" ref="K23" si="247">J23*180/PI()</f>
        <v>-9.4318999935130794</v>
      </c>
      <c r="L23" s="3">
        <f t="shared" si="3"/>
        <v>-0.1044696799080186</v>
      </c>
      <c r="M23" s="3">
        <f t="shared" ref="M23" si="248">L23*180/PI()</f>
        <v>-5.9856717458121205</v>
      </c>
      <c r="N23" s="3">
        <f t="shared" si="3"/>
        <v>-4.9849646305172371E-2</v>
      </c>
      <c r="O23" s="3">
        <f t="shared" ref="O23:Q23" si="249">N23*180/PI()</f>
        <v>-2.8561743435062952</v>
      </c>
      <c r="P23" s="3">
        <f t="shared" si="3"/>
        <v>-6.0678375318399267E-4</v>
      </c>
      <c r="Q23" s="3">
        <f t="shared" si="249"/>
        <v>-3.476614813455061E-2</v>
      </c>
      <c r="R23" s="3">
        <f t="shared" si="3"/>
        <v>4.3577263474998407E-2</v>
      </c>
      <c r="S23" s="3">
        <f t="shared" ref="S23" si="250">R23*180/PI()</f>
        <v>2.4967932798470045</v>
      </c>
      <c r="T23" s="3">
        <f t="shared" si="3"/>
        <v>8.3111356488308002E-2</v>
      </c>
      <c r="U23" s="3">
        <f t="shared" ref="U23" si="251">T23*180/PI()</f>
        <v>4.761929956387279</v>
      </c>
      <c r="V23" s="3">
        <f t="shared" si="3"/>
        <v>0.11843967257699106</v>
      </c>
      <c r="W23" s="3">
        <f t="shared" ref="W23" si="252">V23*180/PI()</f>
        <v>6.7860933655729427</v>
      </c>
      <c r="X23" s="3">
        <f t="shared" si="3"/>
        <v>0.15000557135074324</v>
      </c>
      <c r="Y23" s="3">
        <f t="shared" ref="Y23" si="253">X23*180/PI()</f>
        <v>8.5946861418461236</v>
      </c>
      <c r="Z23" s="3">
        <f t="shared" si="3"/>
        <v>0.17823005589646271</v>
      </c>
      <c r="AA23" s="3">
        <f t="shared" ref="AA23" si="254">Z23*180/PI()</f>
        <v>10.211829985248064</v>
      </c>
      <c r="AB23" s="3">
        <f t="shared" si="44"/>
        <v>0.2035004702912421</v>
      </c>
      <c r="AC23" s="3">
        <f t="shared" ref="AC23" si="255">AB23*180/PI()</f>
        <v>11.659718076615567</v>
      </c>
      <c r="AD23" s="3">
        <f t="shared" si="14"/>
        <v>0.22616589436742784</v>
      </c>
      <c r="AE23" s="3">
        <f t="shared" ref="AE23:AG23" si="256">AD23*180/PI()</f>
        <v>12.958351217055212</v>
      </c>
      <c r="AF23" s="3">
        <f t="shared" si="14"/>
        <v>0.32242495171327856</v>
      </c>
      <c r="AG23" s="3">
        <f t="shared" si="256"/>
        <v>18.473588942880223</v>
      </c>
      <c r="AH23" s="3">
        <f t="shared" si="14"/>
        <v>0.40166352201793837</v>
      </c>
      <c r="AI23" s="3">
        <f t="shared" ref="AI23" si="257">AH23*180/PI()</f>
        <v>23.013624595987885</v>
      </c>
      <c r="AJ23" s="3">
        <f t="shared" si="14"/>
        <v>0.43941032060398122</v>
      </c>
      <c r="AK23" s="3">
        <f t="shared" ref="AK23" si="258">AJ23*180/PI()</f>
        <v>25.176356845098525</v>
      </c>
      <c r="AL23" s="3">
        <f t="shared" si="14"/>
        <v>0.49058142694428758</v>
      </c>
      <c r="AM23" s="3">
        <f t="shared" ref="AM23" si="259">AL23*180/PI()</f>
        <v>28.108245271413203</v>
      </c>
      <c r="AN23" s="3">
        <f t="shared" si="14"/>
        <v>0.50781480141595459</v>
      </c>
      <c r="AO23" s="3">
        <f t="shared" ref="AO23" si="260">AN23*180/PI()</f>
        <v>29.095644895408221</v>
      </c>
    </row>
    <row r="24" spans="2:41" ht="15.6" customHeight="1" x14ac:dyDescent="0.4">
      <c r="B24" s="9">
        <v>38</v>
      </c>
      <c r="C24" s="10">
        <f t="shared" si="0"/>
        <v>0.66322511575784515</v>
      </c>
      <c r="D24" s="3">
        <f t="shared" si="1"/>
        <v>-0.33454401106828746</v>
      </c>
      <c r="E24" s="3">
        <f t="shared" si="2"/>
        <v>-19.167959895590769</v>
      </c>
      <c r="F24" s="3">
        <f t="shared" si="3"/>
        <v>-0.26035125357294536</v>
      </c>
      <c r="G24" s="3">
        <f t="shared" si="2"/>
        <v>-14.917028020670063</v>
      </c>
      <c r="H24" s="3">
        <f t="shared" si="3"/>
        <v>-0.1903605749655474</v>
      </c>
      <c r="I24" s="3">
        <f t="shared" ref="I24" si="261">H24*180/PI()</f>
        <v>-10.906857531209583</v>
      </c>
      <c r="J24" s="3">
        <f t="shared" si="3"/>
        <v>-0.1254554287099138</v>
      </c>
      <c r="K24" s="3">
        <f t="shared" ref="K24" si="262">J24*180/PI()</f>
        <v>-7.1880665820824392</v>
      </c>
      <c r="L24" s="3">
        <f t="shared" si="3"/>
        <v>-6.6060467607542209E-2</v>
      </c>
      <c r="M24" s="3">
        <f t="shared" ref="M24" si="263">L24*180/PI()</f>
        <v>-3.7849859865728552</v>
      </c>
      <c r="N24" s="3">
        <f t="shared" si="3"/>
        <v>-1.2238996757207654E-2</v>
      </c>
      <c r="O24" s="3">
        <f t="shared" ref="O24:Q24" si="264">N24*180/PI()</f>
        <v>-0.70124285966229927</v>
      </c>
      <c r="P24" s="3">
        <f t="shared" si="3"/>
        <v>3.6198531985017574E-2</v>
      </c>
      <c r="Q24" s="3">
        <f t="shared" si="264"/>
        <v>2.0740231073108251</v>
      </c>
      <c r="R24" s="3">
        <f t="shared" si="3"/>
        <v>7.9597682993038127E-2</v>
      </c>
      <c r="S24" s="3">
        <f t="shared" ref="S24" si="265">R24*180/PI()</f>
        <v>4.5606112945213351</v>
      </c>
      <c r="T24" s="3">
        <f t="shared" si="3"/>
        <v>0.11838467862171552</v>
      </c>
      <c r="U24" s="3">
        <f t="shared" ref="U24" si="266">T24*180/PI()</f>
        <v>6.782942444036923</v>
      </c>
      <c r="V24" s="3">
        <f t="shared" si="3"/>
        <v>0.15301346835812865</v>
      </c>
      <c r="W24" s="3">
        <f t="shared" ref="W24" si="267">V24*180/PI()</f>
        <v>8.7670259455793378</v>
      </c>
      <c r="X24" s="3">
        <f t="shared" si="3"/>
        <v>0.18393176559207522</v>
      </c>
      <c r="Y24" s="3">
        <f t="shared" ref="Y24" si="268">X24*180/PI()</f>
        <v>10.538513886815483</v>
      </c>
      <c r="Z24" s="3">
        <f t="shared" si="3"/>
        <v>0.21156130059714995</v>
      </c>
      <c r="AA24" s="3">
        <f t="shared" ref="AA24" si="269">Z24*180/PI()</f>
        <v>12.121569632515236</v>
      </c>
      <c r="AB24" s="3">
        <f t="shared" si="44"/>
        <v>0.2362878700156843</v>
      </c>
      <c r="AC24" s="3">
        <f t="shared" ref="AC24" si="270">AB24*180/PI()</f>
        <v>13.538297702034502</v>
      </c>
      <c r="AD24" s="3">
        <f t="shared" si="14"/>
        <v>0.25845769074218378</v>
      </c>
      <c r="AE24" s="3">
        <f t="shared" ref="AE24:AG24" si="271">AD24*180/PI()</f>
        <v>14.80853486222458</v>
      </c>
      <c r="AF24" s="3">
        <f t="shared" si="14"/>
        <v>0.35255308997296242</v>
      </c>
      <c r="AG24" s="3">
        <f t="shared" si="271"/>
        <v>20.199804109746729</v>
      </c>
      <c r="AH24" s="3">
        <f t="shared" si="14"/>
        <v>0.42997918867732782</v>
      </c>
      <c r="AI24" s="3">
        <f t="shared" ref="AI24" si="272">AH24*180/PI()</f>
        <v>24.635992789670198</v>
      </c>
      <c r="AJ24" s="3">
        <f t="shared" si="14"/>
        <v>0.46686645670299048</v>
      </c>
      <c r="AK24" s="3">
        <f t="shared" ref="AK24" si="273">AJ24*180/PI()</f>
        <v>26.749477565308538</v>
      </c>
      <c r="AL24" s="3">
        <f t="shared" si="14"/>
        <v>0.51688756741100383</v>
      </c>
      <c r="AM24" s="3">
        <f t="shared" ref="AM24" si="274">AL24*180/PI()</f>
        <v>29.615476095434349</v>
      </c>
      <c r="AN24" s="3">
        <f t="shared" si="14"/>
        <v>0.53373940723156055</v>
      </c>
      <c r="AO24" s="3">
        <f t="shared" ref="AO24" si="275">AN24*180/PI()</f>
        <v>30.581015394182749</v>
      </c>
    </row>
    <row r="25" spans="2:41" ht="15.6" customHeight="1" x14ac:dyDescent="0.4">
      <c r="B25" s="9">
        <v>40</v>
      </c>
      <c r="C25" s="10">
        <f t="shared" si="0"/>
        <v>0.69813170079773179</v>
      </c>
      <c r="D25" s="3">
        <f t="shared" si="1"/>
        <v>-0.29630355627568405</v>
      </c>
      <c r="E25" s="3">
        <f t="shared" si="2"/>
        <v>-16.976943229313775</v>
      </c>
      <c r="F25" s="3">
        <f t="shared" si="3"/>
        <v>-0.22254613593820999</v>
      </c>
      <c r="G25" s="3">
        <f t="shared" si="2"/>
        <v>-12.750954336204126</v>
      </c>
      <c r="H25" s="3">
        <f t="shared" si="3"/>
        <v>-0.15314014498113579</v>
      </c>
      <c r="I25" s="3">
        <f t="shared" ref="I25" si="276">H25*180/PI()</f>
        <v>-8.7742839814406164</v>
      </c>
      <c r="J25" s="3">
        <f t="shared" si="3"/>
        <v>-8.8917700913212397E-2</v>
      </c>
      <c r="K25" s="3">
        <f t="shared" ref="K25" si="277">J25*180/PI()</f>
        <v>-5.0946089863336157</v>
      </c>
      <c r="L25" s="3">
        <f t="shared" si="3"/>
        <v>-3.0255800740664893E-2</v>
      </c>
      <c r="M25" s="3">
        <f t="shared" ref="M25" si="278">L25*180/PI()</f>
        <v>-1.7335296882288886</v>
      </c>
      <c r="N25" s="3">
        <f t="shared" si="3"/>
        <v>2.282091346649074E-2</v>
      </c>
      <c r="O25" s="3">
        <f t="shared" ref="O25:Q25" si="279">N25*180/PI()</f>
        <v>1.3075420262631845</v>
      </c>
      <c r="P25" s="3">
        <f t="shared" si="3"/>
        <v>7.0530082120426302E-2</v>
      </c>
      <c r="Q25" s="3">
        <f t="shared" si="279"/>
        <v>4.0410760342115353</v>
      </c>
      <c r="R25" s="3">
        <f t="shared" si="3"/>
        <v>0.11323561719447586</v>
      </c>
      <c r="S25" s="3">
        <f t="shared" ref="S25" si="280">R25*180/PI()</f>
        <v>6.4879229558024827</v>
      </c>
      <c r="T25" s="3">
        <f t="shared" si="3"/>
        <v>0.15137425786972561</v>
      </c>
      <c r="U25" s="3">
        <f t="shared" ref="U25" si="281">T25*180/PI()</f>
        <v>8.673106102860265</v>
      </c>
      <c r="V25" s="3">
        <f t="shared" si="3"/>
        <v>0.18540474909716562</v>
      </c>
      <c r="W25" s="3">
        <f t="shared" ref="W25" si="282">V25*180/PI()</f>
        <v>10.62290962494955</v>
      </c>
      <c r="X25" s="3">
        <f t="shared" si="3"/>
        <v>0.21577572916606577</v>
      </c>
      <c r="Y25" s="3">
        <f t="shared" ref="Y25" si="283">X25*180/PI()</f>
        <v>12.363038602573472</v>
      </c>
      <c r="Z25" s="3">
        <f t="shared" si="3"/>
        <v>0.24290742186949946</v>
      </c>
      <c r="AA25" s="3">
        <f t="shared" ref="AA25" si="284">Z25*180/PI()</f>
        <v>13.917570085526112</v>
      </c>
      <c r="AB25" s="3">
        <f t="shared" si="44"/>
        <v>0.26718272069239934</v>
      </c>
      <c r="AC25" s="3">
        <f t="shared" ref="AC25" si="285">AB25*180/PI()</f>
        <v>15.308442254497171</v>
      </c>
      <c r="AD25" s="3">
        <f t="shared" si="14"/>
        <v>0.28894424419913844</v>
      </c>
      <c r="AE25" s="3">
        <f t="shared" ref="AE25:AG25" si="286">AD25*180/PI()</f>
        <v>16.55528570720805</v>
      </c>
      <c r="AF25" s="3">
        <f t="shared" si="14"/>
        <v>0.38128640127786423</v>
      </c>
      <c r="AG25" s="3">
        <f t="shared" si="286"/>
        <v>21.846101578953139</v>
      </c>
      <c r="AH25" s="3">
        <f t="shared" si="14"/>
        <v>0.45727627772626794</v>
      </c>
      <c r="AI25" s="3">
        <f t="shared" ref="AI25" si="287">AH25*180/PI()</f>
        <v>26.200000785167244</v>
      </c>
      <c r="AJ25" s="3">
        <f t="shared" si="14"/>
        <v>0.49349192708418377</v>
      </c>
      <c r="AK25" s="3">
        <f t="shared" ref="AK25" si="288">AJ25*180/PI()</f>
        <v>28.275004645701493</v>
      </c>
      <c r="AL25" s="3">
        <f t="shared" si="14"/>
        <v>0.54262376565939807</v>
      </c>
      <c r="AM25" s="3">
        <f t="shared" ref="AM25" si="289">AL25*180/PI()</f>
        <v>31.090051635779325</v>
      </c>
      <c r="AN25" s="3">
        <f t="shared" si="14"/>
        <v>0.55918293898628446</v>
      </c>
      <c r="AO25" s="3">
        <f t="shared" ref="AO25" si="290">AN25*180/PI()</f>
        <v>32.038822379635519</v>
      </c>
    </row>
    <row r="26" spans="2:41" ht="15.6" customHeight="1" x14ac:dyDescent="0.4">
      <c r="B26" s="9">
        <v>42</v>
      </c>
      <c r="C26" s="10">
        <f t="shared" si="0"/>
        <v>0.73303828583761843</v>
      </c>
      <c r="D26" s="3">
        <f t="shared" si="1"/>
        <v>-0.26037243021837225</v>
      </c>
      <c r="E26" s="3">
        <f t="shared" si="2"/>
        <v>-14.918241353077269</v>
      </c>
      <c r="F26" s="3">
        <f t="shared" si="3"/>
        <v>-0.18717686260423555</v>
      </c>
      <c r="G26" s="3">
        <f t="shared" si="2"/>
        <v>-10.724444249722783</v>
      </c>
      <c r="H26" s="3">
        <f t="shared" si="3"/>
        <v>-0.11842288517886197</v>
      </c>
      <c r="I26" s="3">
        <f t="shared" ref="I26" si="291">H26*180/PI()</f>
        <v>-6.7851315185111396</v>
      </c>
      <c r="J26" s="3">
        <f t="shared" si="3"/>
        <v>-5.4899101982336392E-2</v>
      </c>
      <c r="K26" s="3">
        <f t="shared" ref="K26" si="292">J26*180/PI()</f>
        <v>-3.1454868426461666</v>
      </c>
      <c r="L26" s="3">
        <f t="shared" si="3"/>
        <v>3.0545229950340062E-3</v>
      </c>
      <c r="M26" s="3">
        <f t="shared" ref="M26" si="293">L26*180/PI()</f>
        <v>0.17501127604110828</v>
      </c>
      <c r="N26" s="3">
        <f t="shared" si="3"/>
        <v>5.5441011024617827E-2</v>
      </c>
      <c r="O26" s="3">
        <f t="shared" ref="O26:Q26" si="294">N26*180/PI()</f>
        <v>3.1765359436488692</v>
      </c>
      <c r="P26" s="3">
        <f t="shared" si="3"/>
        <v>0.10249625186360288</v>
      </c>
      <c r="Q26" s="3">
        <f t="shared" si="294"/>
        <v>5.8726026476943431</v>
      </c>
      <c r="R26" s="3">
        <f t="shared" si="3"/>
        <v>0.14459450516488856</v>
      </c>
      <c r="S26" s="3">
        <f t="shared" ref="S26" si="295">R26*180/PI()</f>
        <v>8.2846548867306975</v>
      </c>
      <c r="T26" s="3">
        <f t="shared" si="3"/>
        <v>0.18217696950072187</v>
      </c>
      <c r="U26" s="3">
        <f t="shared" ref="U26" si="296">T26*180/PI()</f>
        <v>10.437971476874884</v>
      </c>
      <c r="V26" s="3">
        <f t="shared" si="3"/>
        <v>0.21570285546704662</v>
      </c>
      <c r="W26" s="3">
        <f t="shared" ref="W26" si="297">V26*180/PI()</f>
        <v>12.358863247182168</v>
      </c>
      <c r="X26" s="3">
        <f t="shared" si="3"/>
        <v>0.24561879145788615</v>
      </c>
      <c r="Y26" s="3">
        <f t="shared" ref="Y26" si="298">X26*180/PI()</f>
        <v>14.072920119640793</v>
      </c>
      <c r="Z26" s="3">
        <f t="shared" si="3"/>
        <v>0.27234161728274625</v>
      </c>
      <c r="AA26" s="3">
        <f t="shared" ref="AA26" si="299">Z26*180/PI()</f>
        <v>15.604025256068478</v>
      </c>
      <c r="AB26" s="3">
        <f t="shared" si="44"/>
        <v>0.29625021119664102</v>
      </c>
      <c r="AC26" s="3">
        <f t="shared" ref="AC26" si="300">AB26*180/PI()</f>
        <v>16.973886781426817</v>
      </c>
      <c r="AD26" s="3">
        <f t="shared" si="14"/>
        <v>0.31768301559125578</v>
      </c>
      <c r="AE26" s="3">
        <f t="shared" ref="AE26:AG26" si="301">AD26*180/PI()</f>
        <v>18.201896016367684</v>
      </c>
      <c r="AF26" s="3">
        <f t="shared" si="14"/>
        <v>0.40864474820727392</v>
      </c>
      <c r="AG26" s="3">
        <f t="shared" si="301"/>
        <v>23.413619392463008</v>
      </c>
      <c r="AH26" s="3">
        <f t="shared" si="14"/>
        <v>0.48353979102279965</v>
      </c>
      <c r="AI26" s="3">
        <f t="shared" ref="AI26" si="302">AH26*180/PI()</f>
        <v>27.704789252244233</v>
      </c>
      <c r="AJ26" s="3">
        <f t="shared" si="14"/>
        <v>0.51925460709656768</v>
      </c>
      <c r="AK26" s="3">
        <f t="shared" ref="AK26" si="303">AJ26*180/PI()</f>
        <v>29.751097479357135</v>
      </c>
      <c r="AL26" s="3">
        <f t="shared" si="14"/>
        <v>0.56773476827091618</v>
      </c>
      <c r="AM26" s="3">
        <f t="shared" ref="AM26" si="304">AL26*180/PI()</f>
        <v>32.528806104761301</v>
      </c>
      <c r="AN26" s="3">
        <f t="shared" si="14"/>
        <v>0.58408247982367179</v>
      </c>
      <c r="AO26" s="3">
        <f t="shared" ref="AO26" si="305">AN26*180/PI()</f>
        <v>33.465460981431455</v>
      </c>
    </row>
    <row r="27" spans="2:41" ht="15.6" customHeight="1" x14ac:dyDescent="0.4">
      <c r="B27" s="9">
        <v>44</v>
      </c>
      <c r="C27" s="10">
        <f t="shared" si="0"/>
        <v>0.76794487087750496</v>
      </c>
      <c r="D27" s="3">
        <f t="shared" si="1"/>
        <v>-0.2266949563142989</v>
      </c>
      <c r="E27" s="3">
        <f t="shared" si="2"/>
        <v>-12.988664233711898</v>
      </c>
      <c r="F27" s="3">
        <f t="shared" si="3"/>
        <v>-0.15417692128585803</v>
      </c>
      <c r="G27" s="3">
        <f t="shared" si="2"/>
        <v>-8.8336868880003703</v>
      </c>
      <c r="H27" s="3">
        <f t="shared" si="3"/>
        <v>-8.6134788124790876E-2</v>
      </c>
      <c r="I27" s="3">
        <f t="shared" ref="I27" si="306">H27*180/PI()</f>
        <v>-4.9351598288040792</v>
      </c>
      <c r="J27" s="3">
        <f t="shared" si="3"/>
        <v>-2.3321873385068369E-2</v>
      </c>
      <c r="K27" s="3">
        <f t="shared" ref="K27" si="307">J27*180/PI()</f>
        <v>-1.3362449153029001</v>
      </c>
      <c r="L27" s="3">
        <f t="shared" si="3"/>
        <v>3.3948494156660569E-2</v>
      </c>
      <c r="M27" s="3">
        <f t="shared" ref="M27" si="308">L27*180/PI()</f>
        <v>1.9451054360011877</v>
      </c>
      <c r="N27" s="3">
        <f t="shared" si="3"/>
        <v>8.5696605811363E-2</v>
      </c>
      <c r="O27" s="3">
        <f t="shared" ref="O27:Q27" si="309">N27*180/PI()</f>
        <v>4.9100538315873834</v>
      </c>
      <c r="P27" s="3">
        <f t="shared" si="3"/>
        <v>0.1321675040854903</v>
      </c>
      <c r="Q27" s="3">
        <f t="shared" si="309"/>
        <v>7.5726401728766604</v>
      </c>
      <c r="R27" s="3">
        <f t="shared" si="3"/>
        <v>0.1737385152011775</v>
      </c>
      <c r="S27" s="3">
        <f t="shared" ref="S27" si="310">R27*180/PI()</f>
        <v>9.954483659896967</v>
      </c>
      <c r="T27" s="3">
        <f t="shared" si="3"/>
        <v>0.21084984490059361</v>
      </c>
      <c r="U27" s="3">
        <f t="shared" ref="U27" si="311">T27*180/PI()</f>
        <v>12.080806223792015</v>
      </c>
      <c r="V27" s="3">
        <f t="shared" si="3"/>
        <v>0.24395730503737834</v>
      </c>
      <c r="W27" s="3">
        <f t="shared" ref="W27" si="312">V27*180/PI()</f>
        <v>13.977723960027395</v>
      </c>
      <c r="X27" s="3">
        <f t="shared" si="3"/>
        <v>0.27350291286381589</v>
      </c>
      <c r="Y27" s="3">
        <f t="shared" ref="Y27" si="313">X27*180/PI()</f>
        <v>15.670562591630963</v>
      </c>
      <c r="Z27" s="3">
        <f t="shared" si="3"/>
        <v>0.29989847086877586</v>
      </c>
      <c r="AA27" s="3">
        <f t="shared" ref="AA27" si="314">Z27*180/PI()</f>
        <v>17.182916663207923</v>
      </c>
      <c r="AB27" s="3">
        <f t="shared" si="44"/>
        <v>0.32351787033681767</v>
      </c>
      <c r="AC27" s="3">
        <f t="shared" ref="AC27" si="315">AB27*180/PI()</f>
        <v>18.536208567360262</v>
      </c>
      <c r="AD27" s="3">
        <f t="shared" si="14"/>
        <v>0.34469487918713121</v>
      </c>
      <c r="AE27" s="3">
        <f t="shared" ref="AE27:AG27" si="316">AD27*180/PI()</f>
        <v>19.749561797194421</v>
      </c>
      <c r="AF27" s="3">
        <f t="shared" si="14"/>
        <v>0.43461810660342426</v>
      </c>
      <c r="AG27" s="3">
        <f t="shared" si="316"/>
        <v>24.901783208343105</v>
      </c>
      <c r="AH27" s="3">
        <f t="shared" si="14"/>
        <v>0.5087325566076043</v>
      </c>
      <c r="AI27" s="3">
        <f t="shared" ref="AI27" si="317">AH27*180/PI()</f>
        <v>29.148228394515968</v>
      </c>
      <c r="AJ27" s="3">
        <f t="shared" si="14"/>
        <v>0.54410439192950999</v>
      </c>
      <c r="AK27" s="3">
        <f t="shared" ref="AK27" si="318">AJ27*180/PI()</f>
        <v>31.174885272092933</v>
      </c>
      <c r="AL27" s="3">
        <f t="shared" si="14"/>
        <v>0.59215339024576952</v>
      </c>
      <c r="AM27" s="3">
        <f t="shared" ref="AM27" si="319">AL27*180/PI()</f>
        <v>33.927890085445803</v>
      </c>
      <c r="AN27" s="3">
        <f t="shared" si="14"/>
        <v>0.60836528262795986</v>
      </c>
      <c r="AO27" s="3">
        <f t="shared" ref="AO27" si="320">AN27*180/PI()</f>
        <v>34.856763096865599</v>
      </c>
    </row>
    <row r="28" spans="2:41" ht="15.6" customHeight="1" x14ac:dyDescent="0.4">
      <c r="B28" s="9">
        <v>46</v>
      </c>
      <c r="C28" s="10">
        <f t="shared" si="0"/>
        <v>0.80285145591739149</v>
      </c>
      <c r="D28" s="3">
        <f t="shared" si="1"/>
        <v>-0.19522505466277798</v>
      </c>
      <c r="E28" s="3">
        <f t="shared" si="2"/>
        <v>-11.185571687387972</v>
      </c>
      <c r="F28" s="3">
        <f t="shared" si="3"/>
        <v>-0.12349502603620784</v>
      </c>
      <c r="G28" s="3">
        <f t="shared" si="2"/>
        <v>-7.0757437827329248</v>
      </c>
      <c r="H28" s="3">
        <f t="shared" si="3"/>
        <v>-5.622253725501522E-2</v>
      </c>
      <c r="I28" s="3">
        <f t="shared" ref="I28" si="321">H28*180/PI()</f>
        <v>-3.2213140982294086</v>
      </c>
      <c r="J28" s="3">
        <f t="shared" si="3"/>
        <v>5.8662362886402952E-3</v>
      </c>
      <c r="K28" s="3">
        <f t="shared" ref="K28" si="322">J28*180/PI()</f>
        <v>0.33611058096557672</v>
      </c>
      <c r="L28" s="3">
        <f t="shared" si="3"/>
        <v>6.247469997651945E-2</v>
      </c>
      <c r="M28" s="3">
        <f t="shared" ref="M28" si="323">L28*180/PI()</f>
        <v>3.5795366350006277</v>
      </c>
      <c r="N28" s="3">
        <f t="shared" si="3"/>
        <v>0.11363070395961254</v>
      </c>
      <c r="O28" s="3">
        <f t="shared" ref="O28:Q28" si="324">N28*180/PI()</f>
        <v>6.5105597599862914</v>
      </c>
      <c r="P28" s="3">
        <f t="shared" si="3"/>
        <v>0.15958003189875206</v>
      </c>
      <c r="Q28" s="3">
        <f t="shared" si="324"/>
        <v>9.1432623223615419</v>
      </c>
      <c r="R28" s="3">
        <f t="shared" si="3"/>
        <v>0.2006963798241154</v>
      </c>
      <c r="S28" s="3">
        <f t="shared" ref="S28" si="325">R28*180/PI()</f>
        <v>11.49905552747634</v>
      </c>
      <c r="T28" s="3">
        <f t="shared" si="3"/>
        <v>0.23741395500716916</v>
      </c>
      <c r="U28" s="3">
        <f t="shared" ref="U28" si="326">T28*180/PI()</f>
        <v>13.602817619419611</v>
      </c>
      <c r="V28" s="3">
        <f t="shared" si="3"/>
        <v>0.27018161872311347</v>
      </c>
      <c r="W28" s="3">
        <f t="shared" ref="W28" si="327">V28*180/PI()</f>
        <v>15.480266454847184</v>
      </c>
      <c r="X28" s="3">
        <f t="shared" si="3"/>
        <v>0.29943437677522705</v>
      </c>
      <c r="Y28" s="3">
        <f t="shared" ref="Y28" si="328">X28*180/PI()</f>
        <v>17.156326030350627</v>
      </c>
      <c r="Z28" s="3">
        <f t="shared" si="3"/>
        <v>0.32557745737498522</v>
      </c>
      <c r="AA28" s="3">
        <f t="shared" ref="AA28" si="329">Z28*180/PI()</f>
        <v>18.654214212187114</v>
      </c>
      <c r="AB28" s="3">
        <f t="shared" si="44"/>
        <v>0.34897884960421088</v>
      </c>
      <c r="AC28" s="3">
        <f t="shared" ref="AC28" si="330">AB28*180/PI()</f>
        <v>19.995015221651983</v>
      </c>
      <c r="AD28" s="3">
        <f t="shared" si="14"/>
        <v>0.36996716504441113</v>
      </c>
      <c r="AE28" s="3">
        <f t="shared" ref="AE28:AG28" si="331">AD28*180/PI()</f>
        <v>21.197557115464718</v>
      </c>
      <c r="AF28" s="3">
        <f t="shared" si="14"/>
        <v>0.45916819540208598</v>
      </c>
      <c r="AG28" s="3">
        <f t="shared" si="331"/>
        <v>26.308399683177818</v>
      </c>
      <c r="AH28" s="3">
        <f t="shared" si="14"/>
        <v>0.53279534412112906</v>
      </c>
      <c r="AI28" s="3">
        <f t="shared" ref="AI28" si="332">AH28*180/PI()</f>
        <v>30.526924562361035</v>
      </c>
      <c r="AJ28" s="3">
        <f t="shared" si="14"/>
        <v>0.56797253410152515</v>
      </c>
      <c r="AK28" s="3">
        <f t="shared" ref="AK28" si="333">AJ28*180/PI()</f>
        <v>32.542429083367615</v>
      </c>
      <c r="AL28" s="3">
        <f t="shared" si="14"/>
        <v>0.61579879183745512</v>
      </c>
      <c r="AM28" s="3">
        <f t="shared" ref="AM28" si="334">AL28*180/PI()</f>
        <v>35.282671801541305</v>
      </c>
      <c r="AN28" s="3">
        <f t="shared" si="14"/>
        <v>0.63194669690989003</v>
      </c>
      <c r="AO28" s="3">
        <f t="shared" ref="AO28" si="335">AN28*180/PI()</f>
        <v>36.207878610169722</v>
      </c>
    </row>
    <row r="29" spans="2:41" ht="15.6" customHeight="1" x14ac:dyDescent="0.4">
      <c r="B29" s="9">
        <v>48</v>
      </c>
      <c r="C29" s="10">
        <f t="shared" si="0"/>
        <v>0.83775804095727813</v>
      </c>
      <c r="D29" s="3">
        <f t="shared" si="1"/>
        <v>-0.16592581463635936</v>
      </c>
      <c r="E29" s="3">
        <f t="shared" si="2"/>
        <v>-9.5068488909334139</v>
      </c>
      <c r="F29" s="3">
        <f t="shared" si="3"/>
        <v>-9.5094172089589646E-2</v>
      </c>
      <c r="G29" s="3">
        <f t="shared" si="2"/>
        <v>-5.4484947170242357</v>
      </c>
      <c r="H29" s="3">
        <f t="shared" si="3"/>
        <v>-2.8652014495942218E-2</v>
      </c>
      <c r="I29" s="3">
        <f t="shared" ref="I29" si="336">H29*180/PI()</f>
        <v>-1.6416395051651438</v>
      </c>
      <c r="J29" s="3">
        <f t="shared" si="3"/>
        <v>3.2693956241229429E-2</v>
      </c>
      <c r="K29" s="3">
        <f t="shared" ref="K29" si="337">J29*180/PI()</f>
        <v>1.873225708207843</v>
      </c>
      <c r="L29" s="3">
        <f t="shared" si="3"/>
        <v>8.8654688979555099E-2</v>
      </c>
      <c r="M29" s="3">
        <f t="shared" ref="M29" si="338">L29*180/PI()</f>
        <v>5.0795395125734784</v>
      </c>
      <c r="N29" s="3">
        <f t="shared" si="3"/>
        <v>0.13925661443026574</v>
      </c>
      <c r="O29" s="3">
        <f t="shared" ref="O29:Q29" si="339">N29*180/PI()</f>
        <v>7.9788162761348236</v>
      </c>
      <c r="P29" s="3">
        <f t="shared" si="3"/>
        <v>0.18473847190597378</v>
      </c>
      <c r="Q29" s="3">
        <f t="shared" si="339"/>
        <v>10.584734753908426</v>
      </c>
      <c r="R29" s="3">
        <f t="shared" si="3"/>
        <v>0.22546409930580974</v>
      </c>
      <c r="S29" s="3">
        <f t="shared" ref="S29" si="340">R29*180/PI()</f>
        <v>12.918141321941373</v>
      </c>
      <c r="T29" s="3">
        <f t="shared" si="3"/>
        <v>0.26185701337242567</v>
      </c>
      <c r="U29" s="3">
        <f t="shared" ref="U29" si="341">T29*180/PI()</f>
        <v>15.003301702140751</v>
      </c>
      <c r="V29" s="3">
        <f t="shared" si="3"/>
        <v>0.29435575839078904</v>
      </c>
      <c r="W29" s="3">
        <f t="shared" ref="W29" si="342">V29*180/PI()</f>
        <v>16.865342631164783</v>
      </c>
      <c r="X29" s="3">
        <f t="shared" si="3"/>
        <v>0.32338601917938115</v>
      </c>
      <c r="Y29" s="3">
        <f t="shared" ref="Y29" si="343">X29*180/PI()</f>
        <v>18.528654052515233</v>
      </c>
      <c r="Z29" s="3">
        <f t="shared" si="3"/>
        <v>0.34934493922411847</v>
      </c>
      <c r="AA29" s="3">
        <f t="shared" ref="AA29" si="344">Z29*180/PI()</f>
        <v>20.015990611796237</v>
      </c>
      <c r="AB29" s="3">
        <f t="shared" si="44"/>
        <v>0.37259367628887169</v>
      </c>
      <c r="AC29" s="3">
        <f t="shared" ref="AC29" si="345">AB29*180/PI()</f>
        <v>21.348045124615965</v>
      </c>
      <c r="AD29" s="3">
        <f t="shared" si="14"/>
        <v>0.39345516664961649</v>
      </c>
      <c r="AE29" s="3">
        <f t="shared" ref="AE29:AG29" si="346">AD29*180/PI()</f>
        <v>22.54332047663949</v>
      </c>
      <c r="AF29" s="3">
        <f t="shared" si="14"/>
        <v>0.48222871009660423</v>
      </c>
      <c r="AG29" s="3">
        <f t="shared" si="346"/>
        <v>27.62966984857313</v>
      </c>
      <c r="AH29" s="3">
        <f t="shared" si="14"/>
        <v>0.55564587775221375</v>
      </c>
      <c r="AI29" s="3">
        <f t="shared" ref="AI29" si="347">AH29*180/PI()</f>
        <v>31.836163699043933</v>
      </c>
      <c r="AJ29" s="3">
        <f t="shared" si="14"/>
        <v>0.5907700646296461</v>
      </c>
      <c r="AK29" s="3">
        <f t="shared" ref="AK29" si="348">AJ29*180/PI()</f>
        <v>33.848631365949601</v>
      </c>
      <c r="AL29" s="3">
        <f t="shared" si="14"/>
        <v>0.63857412564592131</v>
      </c>
      <c r="AM29" s="3">
        <f t="shared" ref="AM29" si="349">AL29*180/PI()</f>
        <v>36.587602305768037</v>
      </c>
      <c r="AN29" s="3">
        <f t="shared" si="14"/>
        <v>0.65472756882383454</v>
      </c>
      <c r="AO29" s="3">
        <f t="shared" ref="AO29" si="350">AN29*180/PI()</f>
        <v>37.513126424466854</v>
      </c>
    </row>
    <row r="30" spans="2:41" ht="15.6" customHeight="1" x14ac:dyDescent="0.4">
      <c r="B30" s="9">
        <v>50</v>
      </c>
      <c r="C30" s="10">
        <f t="shared" si="0"/>
        <v>0.87266462599716477</v>
      </c>
      <c r="D30" s="3">
        <f t="shared" si="1"/>
        <v>-0.13876876943627425</v>
      </c>
      <c r="E30" s="3">
        <f t="shared" si="2"/>
        <v>-7.9508648169225271</v>
      </c>
      <c r="F30" s="3">
        <f>ATAN(_xlfn.COT($C30)*((F$3^2*(SIN($C30))^2-1)/(1+(((1.4+1)/(2))-(SIN($C30))^2)*F$3^2)))</f>
        <v>-6.8950477721431883E-2</v>
      </c>
      <c r="G30" s="3">
        <f t="shared" si="2"/>
        <v>-3.950571368848856</v>
      </c>
      <c r="H30" s="3">
        <f>ATAN(_xlfn.COT($C30)*((H$3^2*(SIN($C30))^2-1)/(1+(((1.4+1)/(2))-(SIN($C30))^2)*H$3^2)))</f>
        <v>-3.4067497323800305E-3</v>
      </c>
      <c r="I30" s="3">
        <f t="shared" ref="I30:I50" si="351">H30*180/PI()</f>
        <v>-0.19519238152269844</v>
      </c>
      <c r="J30" s="3">
        <f>ATAN(_xlfn.COT($C30)*((J$3^2*(SIN($C30))^2-1)/(1+(((1.4+1)/(2))-(SIN($C30))^2)*J$3^2)))</f>
        <v>5.7168335756523858E-2</v>
      </c>
      <c r="K30" s="3">
        <f t="shared" ref="K30:K50" si="352">J30*180/PI()</f>
        <v>3.2755043606356513</v>
      </c>
      <c r="L30" s="3">
        <f>ATAN(_xlfn.COT($C30)*((L$3^2*(SIN($C30))^2-1)/(1+(((1.4+1)/(2))-(SIN($C30))^2)*L$3^2)))</f>
        <v>0.1124849748664177</v>
      </c>
      <c r="M30" s="3">
        <f t="shared" ref="M30:M50" si="353">L30*180/PI()</f>
        <v>6.4449143184808761</v>
      </c>
      <c r="N30" s="3">
        <f>ATAN(_xlfn.COT($C30)*((N$3^2*(SIN($C30))^2-1)/(1+(((1.4+1)/(2))-(SIN($C30))^2)*N$3^2)))</f>
        <v>0.16255998368225363</v>
      </c>
      <c r="O30" s="3">
        <f t="shared" ref="O30:Q50" si="354">N30*180/PI()</f>
        <v>9.3140009827086647</v>
      </c>
      <c r="P30" s="3">
        <f>ATAN(_xlfn.COT($C30)*((P$3^2*(SIN($C30))^2-1)/(1+(((1.4+1)/(2))-(SIN($C30))^2)*P$3^2)))</f>
        <v>0.20761785718621478</v>
      </c>
      <c r="Q30" s="3">
        <f t="shared" si="354"/>
        <v>11.895626968319977</v>
      </c>
      <c r="R30" s="3">
        <f>ATAN(_xlfn.COT($C30)*((R$3^2*(SIN($C30))^2-1)/(1+(((1.4+1)/(2))-(SIN($C30))^2)*R$3^2)))</f>
        <v>0.24800672716558864</v>
      </c>
      <c r="S30" s="3">
        <f t="shared" ref="S30" si="355">R30*180/PI()</f>
        <v>14.20973875744073</v>
      </c>
      <c r="T30" s="3">
        <f>ATAN(_xlfn.COT($C30)*((T$3^2*(SIN($C30))^2-1)/(1+(((1.4+1)/(2))-(SIN($C30))^2)*T$3^2)))</f>
        <v>0.28413493562330278</v>
      </c>
      <c r="U30" s="3">
        <f t="shared" ref="U30" si="356">T30*180/PI()</f>
        <v>16.279732623436594</v>
      </c>
      <c r="V30" s="3">
        <f>ATAN(_xlfn.COT($C30)*((V$3^2*(SIN($C30))^2-1)/(1+(((1.4+1)/(2))-(SIN($C30))^2)*V$3^2)))</f>
        <v>0.31642742540061397</v>
      </c>
      <c r="W30" s="3">
        <f t="shared" ref="W30" si="357">V30*180/PI()</f>
        <v>18.129955997645883</v>
      </c>
      <c r="X30" s="3">
        <f>ATAN(_xlfn.COT($C30)*((X$3^2*(SIN($C30))^2-1)/(1+(((1.4+1)/(2))-(SIN($C30))^2)*X$3^2)))</f>
        <v>0.34529824993170455</v>
      </c>
      <c r="Y30" s="3">
        <f t="shared" ref="Y30" si="358">X30*180/PI()</f>
        <v>19.784132394340137</v>
      </c>
      <c r="Z30" s="3">
        <f>ATAN(_xlfn.COT($C30)*((Z$3^2*(SIN($C30))^2-1)/(1+(((1.4+1)/(2))-(SIN($C30))^2)*Z$3^2)))</f>
        <v>0.37113490761382817</v>
      </c>
      <c r="AA30" s="3">
        <f t="shared" ref="AA30" si="359">Z30*180/PI()</f>
        <v>21.264463836250076</v>
      </c>
      <c r="AB30" s="3">
        <f>ATAN(_xlfn.COT($C30)*((AB$3^2*(SIN($C30))^2-1)/(1+(((1.4+1)/(2))-(SIN($C30))^2)*AB$3^2)))</f>
        <v>0.39429072062735881</v>
      </c>
      <c r="AC30" s="3">
        <f t="shared" ref="AC30" si="360">AB30*180/PI()</f>
        <v>22.591194193119492</v>
      </c>
      <c r="AD30" s="3">
        <f>ATAN(_xlfn.COT($C30)*((AD$3^2*(SIN($C30))^2-1)/(1+(((1.4+1)/(2))-(SIN($C30))^2)*AD$3^2)))</f>
        <v>0.41508234609323724</v>
      </c>
      <c r="AE30" s="3">
        <f t="shared" ref="AE30:AG30" si="361">AD30*180/PI()</f>
        <v>23.782466581531047</v>
      </c>
      <c r="AF30" s="3">
        <f>ATAN(_xlfn.COT($C30)*((AF$3^2*(SIN($C30))^2-1)/(1+(((1.4+1)/(2))-(SIN($C30))^2)*AF$3^2)))</f>
        <v>0.50370429923096194</v>
      </c>
      <c r="AG30" s="3">
        <f t="shared" si="361"/>
        <v>28.860130468528837</v>
      </c>
      <c r="AH30" s="3">
        <f>ATAN(_xlfn.COT($C30)*((AH$3^2*(SIN($C30))^2-1)/(1+(((1.4+1)/(2))-(SIN($C30))^2)*AH$3^2)))</f>
        <v>0.57717676702438192</v>
      </c>
      <c r="AI30" s="3">
        <f t="shared" ref="AI30" si="362">AH30*180/PI()</f>
        <v>33.06979278350267</v>
      </c>
      <c r="AJ30" s="3">
        <f>ATAN(_xlfn.COT($C30)*((AJ$3^2*(SIN($C30))^2-1)/(1+(((1.4+1)/(2))-(SIN($C30))^2)*AJ$3^2)))</f>
        <v>0.61238525417451484</v>
      </c>
      <c r="AK30" s="3">
        <f t="shared" ref="AK30" si="363">AJ30*180/PI()</f>
        <v>35.087090500245878</v>
      </c>
      <c r="AL30" s="3">
        <f>ATAN(_xlfn.COT($C30)*((AL$3^2*(SIN($C30))^2-1)/(1+(((1.4+1)/(2))-(SIN($C30))^2)*AL$3^2)))</f>
        <v>0.66036342254570313</v>
      </c>
      <c r="AM30" s="3">
        <f t="shared" ref="AM30" si="364">AL30*180/PI()</f>
        <v>37.836037056683018</v>
      </c>
      <c r="AN30" s="3">
        <f>ATAN(_xlfn.COT($C30)*((AN$3^2*(SIN($C30))^2-1)/(1+(((1.4+1)/(2))-(SIN($C30))^2)*AN$3^2)))</f>
        <v>0.67659095424863602</v>
      </c>
      <c r="AO30" s="3">
        <f t="shared" ref="AO30" si="365">AN30*180/PI()</f>
        <v>38.765806135175815</v>
      </c>
    </row>
    <row r="31" spans="2:41" ht="15.6" customHeight="1" x14ac:dyDescent="0.4">
      <c r="B31" s="9">
        <v>52</v>
      </c>
      <c r="C31" s="10">
        <f t="shared" si="0"/>
        <v>0.90757121103705141</v>
      </c>
      <c r="D31" s="3">
        <f t="shared" si="1"/>
        <v>-0.11373290053735174</v>
      </c>
      <c r="E31" s="3">
        <f t="shared" ref="E31" si="366">D31*180/PI()</f>
        <v>-6.5164151925714275</v>
      </c>
      <c r="F31" s="3">
        <f t="shared" ref="F31:F50" si="367">ATAN(_xlfn.COT($C31)*((F$3^2*(SIN($C31))^2-1)/(1+(((1.4+1)/(2))-(SIN($C31))^2)*F$3^2)))</f>
        <v>-4.5051822399630091E-2</v>
      </c>
      <c r="G31" s="3">
        <f t="shared" ref="G31" si="368">F31*180/PI()</f>
        <v>-2.581279282871749</v>
      </c>
      <c r="H31" s="3">
        <f t="shared" ref="H31:H50" si="369">ATAN(_xlfn.COT($C31)*((H$3^2*(SIN($C31))^2-1)/(1+(((1.4+1)/(2))-(SIN($C31))^2)*H$3^2)))</f>
        <v>1.9513711307431392E-2</v>
      </c>
      <c r="I31" s="3">
        <f t="shared" si="351"/>
        <v>1.1180533005525304</v>
      </c>
      <c r="J31" s="3">
        <f t="shared" ref="J31:J50" si="370">ATAN(_xlfn.COT($C31)*((J$3^2*(SIN($C31))^2-1)/(1+(((1.4+1)/(2))-(SIN($C31))^2)*J$3^2)))</f>
        <v>7.9276508220979119E-2</v>
      </c>
      <c r="K31" s="3">
        <f t="shared" si="352"/>
        <v>4.5422093355962785</v>
      </c>
      <c r="L31" s="3">
        <f t="shared" ref="L31:L50" si="371">ATAN(_xlfn.COT($C31)*((L$3^2*(SIN($C31))^2-1)/(1+(((1.4+1)/(2))-(SIN($C31))^2)*L$3^2)))</f>
        <v>0.13393878572159829</v>
      </c>
      <c r="M31" s="3">
        <f t="shared" si="353"/>
        <v>7.6741271349546745</v>
      </c>
      <c r="N31" s="3">
        <f t="shared" ref="N31:AL50" si="372">ATAN(_xlfn.COT($C31)*((N$3^2*(SIN($C31))^2-1)/(1+(((1.4+1)/(2))-(SIN($C31))^2)*N$3^2)))</f>
        <v>0.18350040073871607</v>
      </c>
      <c r="O31" s="3">
        <f t="shared" si="354"/>
        <v>10.513798501287724</v>
      </c>
      <c r="P31" s="3">
        <f t="shared" si="372"/>
        <v>0.22816497947610417</v>
      </c>
      <c r="Q31" s="3">
        <f t="shared" si="354"/>
        <v>13.072890356669818</v>
      </c>
      <c r="R31" s="3">
        <f t="shared" si="372"/>
        <v>0.26825942394041391</v>
      </c>
      <c r="S31" s="3">
        <f t="shared" ref="S31" si="373">R31*180/PI()</f>
        <v>15.370132806396432</v>
      </c>
      <c r="T31" s="3">
        <f t="shared" si="372"/>
        <v>0.30417254877258376</v>
      </c>
      <c r="U31" s="3">
        <f t="shared" ref="U31" si="374">T31*180/PI()</f>
        <v>17.427803288406238</v>
      </c>
      <c r="V31" s="3">
        <f t="shared" si="372"/>
        <v>0.33631241250455179</v>
      </c>
      <c r="W31" s="3">
        <f t="shared" ref="W31" si="375">V31*180/PI()</f>
        <v>19.26928183437359</v>
      </c>
      <c r="X31" s="3">
        <f t="shared" si="372"/>
        <v>0.36507905075354652</v>
      </c>
      <c r="Y31" s="3">
        <f t="shared" ref="Y31" si="376">X31*180/PI()</f>
        <v>20.917488796820592</v>
      </c>
      <c r="Z31" s="3">
        <f t="shared" si="372"/>
        <v>0.39084864088368287</v>
      </c>
      <c r="AA31" s="3">
        <f t="shared" ref="AA31" si="377">Z31*180/PI()</f>
        <v>22.393977551059386</v>
      </c>
      <c r="AB31" s="3">
        <f t="shared" si="372"/>
        <v>0.41396553514755818</v>
      </c>
      <c r="AC31" s="3">
        <f t="shared" ref="AC31" si="378">AB31*180/PI()</f>
        <v>23.718478027829622</v>
      </c>
      <c r="AD31" s="3">
        <f t="shared" si="372"/>
        <v>0.43473937816327074</v>
      </c>
      <c r="AE31" s="3">
        <f t="shared" ref="AE31:AG31" si="379">AD31*180/PI()</f>
        <v>24.908731556897276</v>
      </c>
      <c r="AF31" s="3">
        <f t="shared" si="372"/>
        <v>0.52346832298061619</v>
      </c>
      <c r="AG31" s="3">
        <f t="shared" si="379"/>
        <v>29.992525615580348</v>
      </c>
      <c r="AH31" s="3">
        <f t="shared" si="372"/>
        <v>0.59725228518834628</v>
      </c>
      <c r="AI31" s="3">
        <f t="shared" ref="AI31" si="380">AH31*180/PI()</f>
        <v>34.220035245836051</v>
      </c>
      <c r="AJ31" s="3">
        <f t="shared" si="372"/>
        <v>0.63267998976560103</v>
      </c>
      <c r="AK31" s="3">
        <f t="shared" ref="AK31" si="381">AJ31*180/PI()</f>
        <v>36.249893195949056</v>
      </c>
      <c r="AL31" s="3">
        <f t="shared" si="372"/>
        <v>0.6810275220305978</v>
      </c>
      <c r="AM31" s="3">
        <f t="shared" ref="AM31" si="382">AL31*180/PI()</f>
        <v>39.020002744605947</v>
      </c>
      <c r="AN31" s="3">
        <f t="shared" ref="AN31:AN50" si="383">ATAN(_xlfn.COT($C31)*((AN$3^2*(SIN($C31))^2-1)/(1+(((1.4+1)/(2))-(SIN($C31))^2)*AN$3^2)))</f>
        <v>0.69739792873832351</v>
      </c>
      <c r="AO31" s="3">
        <f t="shared" ref="AO31" si="384">AN31*180/PI()</f>
        <v>39.95795795787128</v>
      </c>
    </row>
    <row r="32" spans="2:41" ht="15.6" customHeight="1" x14ac:dyDescent="0.4">
      <c r="B32" s="9">
        <v>54</v>
      </c>
      <c r="C32" s="10">
        <f t="shared" si="0"/>
        <v>0.94247779607693793</v>
      </c>
      <c r="D32" s="3">
        <f t="shared" si="1"/>
        <v>-9.0803381910710898E-2</v>
      </c>
      <c r="E32" s="3">
        <f t="shared" ref="E32" si="385">D32*180/PI()</f>
        <v>-5.2026505489982986</v>
      </c>
      <c r="F32" s="3">
        <f t="shared" si="367"/>
        <v>-2.3396264776543347E-2</v>
      </c>
      <c r="G32" s="3">
        <f t="shared" ref="G32" si="386">F32*180/PI()</f>
        <v>-1.340507228066522</v>
      </c>
      <c r="H32" s="3">
        <f t="shared" si="369"/>
        <v>4.0095573775220487E-2</v>
      </c>
      <c r="I32" s="3">
        <f t="shared" si="351"/>
        <v>2.297307154475559</v>
      </c>
      <c r="J32" s="3">
        <f t="shared" si="370"/>
        <v>9.8987469659671534E-2</v>
      </c>
      <c r="K32" s="3">
        <f t="shared" si="352"/>
        <v>5.6715642361784662</v>
      </c>
      <c r="L32" s="3">
        <f t="shared" si="371"/>
        <v>0.1529676871604824</v>
      </c>
      <c r="M32" s="3">
        <f t="shared" si="353"/>
        <v>8.7644028761731523</v>
      </c>
      <c r="N32" s="3">
        <f t="shared" si="372"/>
        <v>0.20201272823414557</v>
      </c>
      <c r="O32" s="3">
        <f t="shared" si="354"/>
        <v>11.574476735739823</v>
      </c>
      <c r="P32" s="3">
        <f t="shared" si="372"/>
        <v>0.24629933209536159</v>
      </c>
      <c r="Q32" s="3">
        <f t="shared" si="354"/>
        <v>14.111912225955278</v>
      </c>
      <c r="R32" s="3">
        <f t="shared" si="372"/>
        <v>0.28612795587218326</v>
      </c>
      <c r="S32" s="3">
        <f t="shared" ref="S32" si="387">R32*180/PI()</f>
        <v>16.393924272181561</v>
      </c>
      <c r="T32" s="3">
        <f t="shared" si="372"/>
        <v>0.32186362275346231</v>
      </c>
      <c r="U32" s="3">
        <f t="shared" ref="U32" si="388">T32*180/PI()</f>
        <v>18.441427162564281</v>
      </c>
      <c r="V32" s="3">
        <f t="shared" si="372"/>
        <v>0.35389416992478606</v>
      </c>
      <c r="W32" s="3">
        <f t="shared" ref="W32" si="389">V32*180/PI()</f>
        <v>20.276642330975832</v>
      </c>
      <c r="X32" s="3">
        <f t="shared" si="372"/>
        <v>0.38260309405772314</v>
      </c>
      <c r="Y32" s="3">
        <f t="shared" ref="Y32" si="390">X32*180/PI()</f>
        <v>21.921542518154403</v>
      </c>
      <c r="Z32" s="3">
        <f t="shared" si="372"/>
        <v>0.40835340420501576</v>
      </c>
      <c r="AA32" s="3">
        <f t="shared" ref="AA32" si="391">Z32*180/PI()</f>
        <v>23.396926610747169</v>
      </c>
      <c r="AB32" s="3">
        <f t="shared" si="372"/>
        <v>0.43147916837671468</v>
      </c>
      <c r="AC32" s="3">
        <f t="shared" ref="AC32" si="392">AB32*180/PI()</f>
        <v>24.721935295800368</v>
      </c>
      <c r="AD32" s="3">
        <f t="shared" si="372"/>
        <v>0.45228211290684728</v>
      </c>
      <c r="AE32" s="3">
        <f t="shared" ref="AE32:AG32" si="393">AD32*180/PI()</f>
        <v>25.913856218821728</v>
      </c>
      <c r="AF32" s="3">
        <f t="shared" si="372"/>
        <v>0.54135935207950125</v>
      </c>
      <c r="AG32" s="3">
        <f t="shared" si="393"/>
        <v>31.01760607409221</v>
      </c>
      <c r="AH32" s="3">
        <f t="shared" si="372"/>
        <v>0.61570383812030571</v>
      </c>
      <c r="AI32" s="3">
        <f t="shared" ref="AI32" si="394">AH32*180/PI()</f>
        <v>35.277231354299566</v>
      </c>
      <c r="AJ32" s="3">
        <f t="shared" si="372"/>
        <v>0.6514848565996918</v>
      </c>
      <c r="AK32" s="3">
        <f t="shared" ref="AK32" si="395">AJ32*180/PI()</f>
        <v>37.327332699847993</v>
      </c>
      <c r="AL32" s="3">
        <f t="shared" si="372"/>
        <v>0.70039877150103058</v>
      </c>
      <c r="AM32" s="3">
        <f t="shared" ref="AM32" si="396">AL32*180/PI()</f>
        <v>40.129893583156779</v>
      </c>
      <c r="AN32" s="3">
        <f t="shared" si="383"/>
        <v>0.71698219985418821</v>
      </c>
      <c r="AO32" s="3">
        <f t="shared" ref="AO32" si="397">AN32*180/PI()</f>
        <v>41.080054037650292</v>
      </c>
    </row>
    <row r="33" spans="2:41" ht="15.6" customHeight="1" x14ac:dyDescent="0.4">
      <c r="B33" s="9">
        <v>56</v>
      </c>
      <c r="C33" s="10">
        <f t="shared" si="0"/>
        <v>0.97738438111682457</v>
      </c>
      <c r="D33" s="3">
        <f t="shared" si="1"/>
        <v>-6.9970060481584842E-2</v>
      </c>
      <c r="E33" s="3">
        <f t="shared" ref="E33" si="398">D33*180/PI()</f>
        <v>-4.0089891578699204</v>
      </c>
      <c r="F33" s="3">
        <f t="shared" si="367"/>
        <v>-3.9902039737076591E-3</v>
      </c>
      <c r="G33" s="3">
        <f t="shared" ref="G33" si="399">F33*180/PI()</f>
        <v>-0.22862184708977898</v>
      </c>
      <c r="H33" s="3">
        <f t="shared" si="369"/>
        <v>5.831277302404942E-2</v>
      </c>
      <c r="I33" s="3">
        <f t="shared" si="351"/>
        <v>3.3410757859823503</v>
      </c>
      <c r="J33" s="3">
        <f t="shared" si="370"/>
        <v>0.11625399166279532</v>
      </c>
      <c r="K33" s="3">
        <f t="shared" si="352"/>
        <v>6.6608630738272314</v>
      </c>
      <c r="L33" s="3">
        <f t="shared" si="371"/>
        <v>0.16950323432391595</v>
      </c>
      <c r="M33" s="3">
        <f t="shared" si="353"/>
        <v>9.711819940577417</v>
      </c>
      <c r="N33" s="3">
        <f t="shared" si="372"/>
        <v>0.21800833791874677</v>
      </c>
      <c r="O33" s="3">
        <f t="shared" si="354"/>
        <v>12.490957661406059</v>
      </c>
      <c r="P33" s="3">
        <f t="shared" si="372"/>
        <v>0.26191382261371904</v>
      </c>
      <c r="Q33" s="3">
        <f t="shared" si="354"/>
        <v>15.006556631904202</v>
      </c>
      <c r="R33" s="3">
        <f t="shared" si="372"/>
        <v>0.30148882572959795</v>
      </c>
      <c r="S33" s="3">
        <f t="shared" ref="S33" si="400">R33*180/PI()</f>
        <v>17.274037284661144</v>
      </c>
      <c r="T33" s="3">
        <f t="shared" si="372"/>
        <v>0.337070399387425</v>
      </c>
      <c r="U33" s="3">
        <f t="shared" ref="U33" si="401">T33*180/PI()</f>
        <v>19.3127112836885</v>
      </c>
      <c r="V33" s="3">
        <f t="shared" si="372"/>
        <v>0.36902274112844741</v>
      </c>
      <c r="W33" s="3">
        <f t="shared" ref="W33" si="402">V33*180/PI()</f>
        <v>21.143445611008779</v>
      </c>
      <c r="X33" s="3">
        <f t="shared" si="372"/>
        <v>0.39771011320068972</v>
      </c>
      <c r="Y33" s="3">
        <f t="shared" ref="Y33" si="403">X33*180/PI()</f>
        <v>22.787110956069728</v>
      </c>
      <c r="Z33" s="3">
        <f t="shared" si="372"/>
        <v>0.42348029315506708</v>
      </c>
      <c r="AA33" s="3">
        <f t="shared" ref="AA33" si="404">Z33*180/PI()</f>
        <v>24.263633504748189</v>
      </c>
      <c r="AB33" s="3">
        <f t="shared" si="372"/>
        <v>0.44665552596918251</v>
      </c>
      <c r="AC33" s="3">
        <f t="shared" ref="AC33" si="405">AB33*180/PI()</f>
        <v>25.591476534230097</v>
      </c>
      <c r="AD33" s="3">
        <f t="shared" si="372"/>
        <v>0.46752849996234902</v>
      </c>
      <c r="AE33" s="3">
        <f t="shared" ref="AE33:AG33" si="406">AD33*180/PI()</f>
        <v>26.787409849924867</v>
      </c>
      <c r="AF33" s="3">
        <f t="shared" si="372"/>
        <v>0.55717629732946772</v>
      </c>
      <c r="AG33" s="3">
        <f t="shared" si="406"/>
        <v>31.92385028170478</v>
      </c>
      <c r="AH33" s="3">
        <f t="shared" si="372"/>
        <v>0.63232387474394058</v>
      </c>
      <c r="AI33" s="3">
        <f t="shared" ref="AI33" si="407">AH33*180/PI()</f>
        <v>36.229489308186707</v>
      </c>
      <c r="AJ33" s="3">
        <f t="shared" si="372"/>
        <v>0.66859261363311084</v>
      </c>
      <c r="AK33" s="3">
        <f t="shared" ref="AK33" si="408">AJ33*180/PI()</f>
        <v>38.307534974798152</v>
      </c>
      <c r="AL33" s="3">
        <f t="shared" si="372"/>
        <v>0.71827411035318867</v>
      </c>
      <c r="AM33" s="3">
        <f t="shared" ref="AM33" si="409">AL33*180/PI()</f>
        <v>41.154075056751658</v>
      </c>
      <c r="AN33" s="3">
        <f t="shared" si="383"/>
        <v>0.73514311740135596</v>
      </c>
      <c r="AO33" s="3">
        <f t="shared" ref="AO33" si="410">AN33*180/PI()</f>
        <v>42.12059796518809</v>
      </c>
    </row>
    <row r="34" spans="2:41" ht="15.6" customHeight="1" x14ac:dyDescent="0.4">
      <c r="B34" s="9">
        <v>58</v>
      </c>
      <c r="C34" s="10">
        <f t="shared" si="0"/>
        <v>1.0122909661567112</v>
      </c>
      <c r="D34" s="3">
        <f t="shared" si="1"/>
        <v>-5.1225660705198024E-2</v>
      </c>
      <c r="E34" s="3">
        <f t="shared" ref="E34" si="411">D34*180/PI()</f>
        <v>-2.9350141611769911</v>
      </c>
      <c r="F34" s="3">
        <f t="shared" si="367"/>
        <v>1.3153767179879067E-2</v>
      </c>
      <c r="G34" s="3">
        <f t="shared" ref="G34" si="412">F34*180/PI()</f>
        <v>0.75365534410476964</v>
      </c>
      <c r="H34" s="3">
        <f t="shared" si="369"/>
        <v>7.4129265939847269E-2</v>
      </c>
      <c r="I34" s="3">
        <f t="shared" si="351"/>
        <v>4.2472940767561322</v>
      </c>
      <c r="J34" s="3">
        <f t="shared" si="370"/>
        <v>0.13101481624068537</v>
      </c>
      <c r="K34" s="3">
        <f t="shared" si="352"/>
        <v>7.5065960242733061</v>
      </c>
      <c r="L34" s="3">
        <f t="shared" si="371"/>
        <v>0.18345884031324616</v>
      </c>
      <c r="M34" s="3">
        <f t="shared" si="353"/>
        <v>10.511417264313531</v>
      </c>
      <c r="N34" s="3">
        <f t="shared" si="372"/>
        <v>0.23137646488845465</v>
      </c>
      <c r="O34" s="3">
        <f t="shared" si="354"/>
        <v>13.256894916765331</v>
      </c>
      <c r="P34" s="3">
        <f t="shared" si="372"/>
        <v>0.27487548081664859</v>
      </c>
      <c r="Q34" s="3">
        <f t="shared" si="354"/>
        <v>15.749204942423187</v>
      </c>
      <c r="R34" s="3">
        <f t="shared" si="372"/>
        <v>0.31418925787312435</v>
      </c>
      <c r="S34" s="3">
        <f t="shared" ref="S34" si="413">R34*180/PI()</f>
        <v>18.001718444477497</v>
      </c>
      <c r="T34" s="3">
        <f t="shared" si="372"/>
        <v>0.34962282496487873</v>
      </c>
      <c r="U34" s="3">
        <f t="shared" ref="U34" si="414">T34*180/PI()</f>
        <v>20.031912291928666</v>
      </c>
      <c r="V34" s="3">
        <f t="shared" si="372"/>
        <v>0.38151324898474914</v>
      </c>
      <c r="W34" s="3">
        <f t="shared" ref="W34" si="415">V34*180/PI()</f>
        <v>21.859098995149868</v>
      </c>
      <c r="X34" s="3">
        <f t="shared" si="372"/>
        <v>0.41020267270779198</v>
      </c>
      <c r="Y34" s="3">
        <f t="shared" ref="Y34" si="416">X34*180/PI()</f>
        <v>23.502881891142721</v>
      </c>
      <c r="Z34" s="3">
        <f t="shared" si="372"/>
        <v>0.43602133349492411</v>
      </c>
      <c r="AA34" s="3">
        <f t="shared" ref="AA34" si="417">Z34*180/PI()</f>
        <v>24.982182186925307</v>
      </c>
      <c r="AB34" s="3">
        <f t="shared" si="372"/>
        <v>0.45927785331894883</v>
      </c>
      <c r="AC34" s="3">
        <f t="shared" ref="AC34" si="418">AB34*180/PI()</f>
        <v>26.314682619004255</v>
      </c>
      <c r="AD34" s="3">
        <f t="shared" si="372"/>
        <v>0.48025450999805958</v>
      </c>
      <c r="AE34" s="3">
        <f t="shared" ref="AE34:AG34" si="419">AD34*180/PI()</f>
        <v>27.516556515012212</v>
      </c>
      <c r="AF34" s="3">
        <f t="shared" si="372"/>
        <v>0.57067200350283953</v>
      </c>
      <c r="AG34" s="3">
        <f t="shared" si="419"/>
        <v>32.697097286987635</v>
      </c>
      <c r="AH34" s="3">
        <f t="shared" si="372"/>
        <v>0.646857886880434</v>
      </c>
      <c r="AI34" s="3">
        <f t="shared" ref="AI34" si="420">AH34*180/PI()</f>
        <v>37.062226862999694</v>
      </c>
      <c r="AJ34" s="3">
        <f t="shared" si="372"/>
        <v>0.68374962729516542</v>
      </c>
      <c r="AK34" s="3">
        <f t="shared" ref="AK34" si="421">AJ34*180/PI()</f>
        <v>39.175967887656014</v>
      </c>
      <c r="AL34" s="3">
        <f t="shared" si="372"/>
        <v>0.73440600584470905</v>
      </c>
      <c r="AM34" s="3">
        <f t="shared" ref="AM34" si="422">AL34*180/PI()</f>
        <v>42.0783645839619</v>
      </c>
      <c r="AN34" s="3">
        <f t="shared" si="383"/>
        <v>0.75163652168481176</v>
      </c>
      <c r="AO34" s="3">
        <f t="shared" ref="AO34" si="423">AN34*180/PI()</f>
        <v>43.0656004204331</v>
      </c>
    </row>
    <row r="35" spans="2:41" ht="15.6" customHeight="1" x14ac:dyDescent="0.4">
      <c r="B35" s="9">
        <v>60</v>
      </c>
      <c r="C35" s="10">
        <f t="shared" si="0"/>
        <v>1.0471975511965976</v>
      </c>
      <c r="D35" s="3">
        <f t="shared" si="1"/>
        <v>-3.4563697959741242E-2</v>
      </c>
      <c r="E35" s="3">
        <f t="shared" ref="E35" si="424">D35*180/PI()</f>
        <v>-1.9803540174581074</v>
      </c>
      <c r="F35" s="3">
        <f t="shared" si="367"/>
        <v>2.8019377257565727E-2</v>
      </c>
      <c r="G35" s="3">
        <f t="shared" ref="G35" si="425">F35*180/PI()</f>
        <v>1.6053920614433592</v>
      </c>
      <c r="H35" s="3">
        <f t="shared" si="369"/>
        <v>8.7501751254756052E-2</v>
      </c>
      <c r="I35" s="3">
        <f t="shared" si="351"/>
        <v>5.0134810469010773</v>
      </c>
      <c r="J35" s="3">
        <f t="shared" si="370"/>
        <v>0.14319730857791374</v>
      </c>
      <c r="K35" s="3">
        <f t="shared" si="352"/>
        <v>8.2046014191469574</v>
      </c>
      <c r="L35" s="3">
        <f t="shared" si="371"/>
        <v>0.194732088868666</v>
      </c>
      <c r="M35" s="3">
        <f t="shared" si="353"/>
        <v>11.15732682794104</v>
      </c>
      <c r="N35" s="3">
        <f t="shared" si="372"/>
        <v>0.24198594596244119</v>
      </c>
      <c r="O35" s="3">
        <f t="shared" si="354"/>
        <v>13.864773405128686</v>
      </c>
      <c r="P35" s="3">
        <f t="shared" si="372"/>
        <v>0.28502644724338283</v>
      </c>
      <c r="Q35" s="3">
        <f t="shared" si="354"/>
        <v>16.330812476654053</v>
      </c>
      <c r="R35" s="3">
        <f t="shared" si="372"/>
        <v>0.32404732456936142</v>
      </c>
      <c r="S35" s="3">
        <f t="shared" ref="S35" si="426">R35*180/PI()</f>
        <v>18.566544060330354</v>
      </c>
      <c r="T35" s="3">
        <f t="shared" si="372"/>
        <v>0.35931775894406526</v>
      </c>
      <c r="U35" s="3">
        <f t="shared" ref="U35" si="427">T35*180/PI()</f>
        <v>20.587391091594025</v>
      </c>
      <c r="V35" s="3">
        <f t="shared" si="372"/>
        <v>0.39114417713625804</v>
      </c>
      <c r="W35" s="3">
        <f t="shared" ref="W35" si="428">V35*180/PI()</f>
        <v>22.410910531025056</v>
      </c>
      <c r="X35" s="3">
        <f t="shared" si="372"/>
        <v>0.41984354585049161</v>
      </c>
      <c r="Y35" s="3">
        <f t="shared" ref="Y35" si="429">X35*180/PI()</f>
        <v>24.055263233040435</v>
      </c>
      <c r="Z35" s="3">
        <f t="shared" si="372"/>
        <v>0.44572600048947181</v>
      </c>
      <c r="AA35" s="3">
        <f t="shared" ref="AA35" si="430">Z35*180/PI()</f>
        <v>25.538218647292798</v>
      </c>
      <c r="AB35" s="3">
        <f t="shared" si="372"/>
        <v>0.4690844550839699</v>
      </c>
      <c r="AC35" s="3">
        <f t="shared" ref="AC35" si="431">AB35*180/PI()</f>
        <v>26.876559511505505</v>
      </c>
      <c r="AD35" s="3">
        <f t="shared" si="372"/>
        <v>0.49018911905970669</v>
      </c>
      <c r="AE35" s="3">
        <f t="shared" ref="AE35:AG35" si="432">AD35*180/PI()</f>
        <v>28.085767685357013</v>
      </c>
      <c r="AF35" s="3">
        <f t="shared" si="372"/>
        <v>0.58154510249254909</v>
      </c>
      <c r="AG35" s="3">
        <f t="shared" si="432"/>
        <v>33.320079969325953</v>
      </c>
      <c r="AH35" s="3">
        <f t="shared" si="372"/>
        <v>0.658994029094223</v>
      </c>
      <c r="AI35" s="3">
        <f t="shared" ref="AI35" si="433">AH35*180/PI()</f>
        <v>37.75757659142036</v>
      </c>
      <c r="AJ35" s="3">
        <f t="shared" si="372"/>
        <v>0.69664467103807459</v>
      </c>
      <c r="AK35" s="3">
        <f t="shared" ref="AK35" si="434">AJ35*180/PI()</f>
        <v>39.914799470761288</v>
      </c>
      <c r="AL35" s="3">
        <f t="shared" si="372"/>
        <v>0.74849050179023657</v>
      </c>
      <c r="AM35" s="3">
        <f t="shared" ref="AM35" si="435">AL35*180/PI()</f>
        <v>42.885346758209742</v>
      </c>
      <c r="AN35" s="3">
        <f t="shared" si="383"/>
        <v>0.76616264951613788</v>
      </c>
      <c r="AO35" s="3">
        <f t="shared" ref="AO35" si="436">AN35*180/PI()</f>
        <v>43.897886237835607</v>
      </c>
    </row>
    <row r="36" spans="2:41" ht="15.6" customHeight="1" x14ac:dyDescent="0.4">
      <c r="B36" s="9">
        <v>62</v>
      </c>
      <c r="C36" s="10">
        <f t="shared" si="0"/>
        <v>1.0821041362364843</v>
      </c>
      <c r="D36" s="3">
        <f t="shared" si="1"/>
        <v>-1.9976088501194627E-2</v>
      </c>
      <c r="E36" s="3">
        <f t="shared" ref="E36" si="437">D36*180/PI()</f>
        <v>-1.1445455622982663</v>
      </c>
      <c r="F36" s="3">
        <f t="shared" si="367"/>
        <v>4.0589621692579084E-2</v>
      </c>
      <c r="G36" s="3">
        <f t="shared" ref="G36" si="438">F36*180/PI()</f>
        <v>2.3256140150174343</v>
      </c>
      <c r="H36" s="3">
        <f t="shared" si="369"/>
        <v>9.8382947596825365E-2</v>
      </c>
      <c r="I36" s="3">
        <f t="shared" si="351"/>
        <v>5.6369276733548386</v>
      </c>
      <c r="J36" s="3">
        <f t="shared" si="370"/>
        <v>0.15272077101069684</v>
      </c>
      <c r="K36" s="3">
        <f t="shared" si="352"/>
        <v>8.7502556228968214</v>
      </c>
      <c r="L36" s="3">
        <f t="shared" si="371"/>
        <v>0.20320776593320941</v>
      </c>
      <c r="M36" s="3">
        <f t="shared" si="353"/>
        <v>11.642947352255208</v>
      </c>
      <c r="N36" s="3">
        <f t="shared" si="372"/>
        <v>0.24968767519090487</v>
      </c>
      <c r="O36" s="3">
        <f t="shared" si="354"/>
        <v>14.306049984872201</v>
      </c>
      <c r="P36" s="3">
        <f t="shared" si="372"/>
        <v>0.29218561425046957</v>
      </c>
      <c r="Q36" s="3">
        <f t="shared" si="354"/>
        <v>16.74100253098943</v>
      </c>
      <c r="R36" s="3">
        <f t="shared" si="372"/>
        <v>0.33085260251350701</v>
      </c>
      <c r="S36" s="3">
        <f t="shared" ref="S36" si="439">R36*180/PI()</f>
        <v>18.956457764943362</v>
      </c>
      <c r="T36" s="3">
        <f t="shared" si="372"/>
        <v>0.36591854333808793</v>
      </c>
      <c r="U36" s="3">
        <f t="shared" ref="U36" si="440">T36*180/PI()</f>
        <v>20.965588178847344</v>
      </c>
      <c r="V36" s="3">
        <f t="shared" si="372"/>
        <v>0.3976558080192838</v>
      </c>
      <c r="W36" s="3">
        <f t="shared" ref="W36" si="441">V36*180/PI()</f>
        <v>22.783999498369479</v>
      </c>
      <c r="X36" s="3">
        <f t="shared" si="372"/>
        <v>0.42635302279377424</v>
      </c>
      <c r="Y36" s="3">
        <f t="shared" ref="Y36" si="442">X36*180/PI()</f>
        <v>24.428228788728251</v>
      </c>
      <c r="Z36" s="3">
        <f t="shared" si="372"/>
        <v>0.45229743156569491</v>
      </c>
      <c r="AA36" s="3">
        <f t="shared" ref="AA36" si="443">Z36*180/PI()</f>
        <v>25.914733913321498</v>
      </c>
      <c r="AB36" s="3">
        <f t="shared" si="372"/>
        <v>0.47576386838184859</v>
      </c>
      <c r="AC36" s="3">
        <f t="shared" ref="AC36" si="444">AB36*180/PI()</f>
        <v>27.259261703097515</v>
      </c>
      <c r="AD36" s="3">
        <f t="shared" si="372"/>
        <v>0.49700851099025889</v>
      </c>
      <c r="AE36" s="3">
        <f t="shared" ref="AE36:AG36" si="445">AD36*180/PI()</f>
        <v>28.476490061823224</v>
      </c>
      <c r="AF36" s="3">
        <f t="shared" si="372"/>
        <v>0.58942991616768814</v>
      </c>
      <c r="AG36" s="3">
        <f t="shared" si="445"/>
        <v>33.771846515158458</v>
      </c>
      <c r="AH36" s="3">
        <f t="shared" si="372"/>
        <v>0.66834976103186428</v>
      </c>
      <c r="AI36" s="3">
        <f t="shared" ref="AI36" si="446">AH36*180/PI()</f>
        <v>38.29362054570295</v>
      </c>
      <c r="AJ36" s="3">
        <f t="shared" si="372"/>
        <v>0.70689430330226444</v>
      </c>
      <c r="AK36" s="3">
        <f t="shared" ref="AK36" si="447">AJ36*180/PI()</f>
        <v>40.50206014106049</v>
      </c>
      <c r="AL36" s="3">
        <f t="shared" si="372"/>
        <v>0.76015135644571297</v>
      </c>
      <c r="AM36" s="3">
        <f t="shared" ref="AM36" si="448">AL36*180/PI()</f>
        <v>43.553464515484016</v>
      </c>
      <c r="AN36" s="3">
        <f t="shared" si="383"/>
        <v>0.77835000520200492</v>
      </c>
      <c r="AO36" s="3">
        <f t="shared" ref="AO36" si="449">AN36*180/PI()</f>
        <v>44.596170282060555</v>
      </c>
    </row>
    <row r="37" spans="2:41" ht="15.6" customHeight="1" x14ac:dyDescent="0.4">
      <c r="B37" s="9">
        <v>64</v>
      </c>
      <c r="C37" s="10">
        <f t="shared" si="0"/>
        <v>1.1170107212763709</v>
      </c>
      <c r="D37" s="3">
        <f t="shared" si="1"/>
        <v>-7.4504540725525929E-3</v>
      </c>
      <c r="E37" s="3">
        <f t="shared" ref="E37" si="450">D37*180/PI()</f>
        <v>-0.42687957381331959</v>
      </c>
      <c r="F37" s="3">
        <f t="shared" si="367"/>
        <v>5.085019266909286E-2</v>
      </c>
      <c r="G37" s="3">
        <f t="shared" ref="G37" si="451">F37*180/PI()</f>
        <v>2.9135014273660995</v>
      </c>
      <c r="H37" s="3">
        <f t="shared" si="369"/>
        <v>0.10672556029492532</v>
      </c>
      <c r="I37" s="3">
        <f t="shared" si="351"/>
        <v>6.1149241710682141</v>
      </c>
      <c r="J37" s="3">
        <f t="shared" si="370"/>
        <v>0.15950064328274424</v>
      </c>
      <c r="K37" s="3">
        <f t="shared" si="352"/>
        <v>9.1387136897229091</v>
      </c>
      <c r="L37" s="3">
        <f t="shared" si="371"/>
        <v>0.20876193417725772</v>
      </c>
      <c r="M37" s="3">
        <f t="shared" si="353"/>
        <v>11.961177751344763</v>
      </c>
      <c r="N37" s="3">
        <f t="shared" si="372"/>
        <v>0.25431819161909475</v>
      </c>
      <c r="O37" s="3">
        <f t="shared" si="354"/>
        <v>14.571359033173474</v>
      </c>
      <c r="P37" s="3">
        <f t="shared" si="372"/>
        <v>0.29615140723507932</v>
      </c>
      <c r="Q37" s="3">
        <f t="shared" si="354"/>
        <v>16.968225731430159</v>
      </c>
      <c r="R37" s="3">
        <f t="shared" si="372"/>
        <v>0.33436789466404665</v>
      </c>
      <c r="S37" s="3">
        <f t="shared" ref="S37" si="452">R37*180/PI()</f>
        <v>19.157869168924751</v>
      </c>
      <c r="T37" s="3">
        <f t="shared" si="372"/>
        <v>0.36915548805146658</v>
      </c>
      <c r="U37" s="3">
        <f t="shared" ref="U37" si="453">T37*180/PI()</f>
        <v>21.151051449441123</v>
      </c>
      <c r="V37" s="3">
        <f t="shared" si="372"/>
        <v>0.40074936673286515</v>
      </c>
      <c r="W37" s="3">
        <f t="shared" ref="W37" si="454">V37*180/PI()</f>
        <v>22.961247356333608</v>
      </c>
      <c r="X37" s="3">
        <f t="shared" si="372"/>
        <v>0.4294066694867954</v>
      </c>
      <c r="Y37" s="3">
        <f t="shared" ref="Y37" si="455">X37*180/PI()</f>
        <v>24.603189856362444</v>
      </c>
      <c r="Z37" s="3">
        <f t="shared" si="372"/>
        <v>0.45538880478969357</v>
      </c>
      <c r="AA37" s="3">
        <f t="shared" ref="AA37" si="456">Z37*180/PI()</f>
        <v>26.091856551956369</v>
      </c>
      <c r="AB37" s="3">
        <f t="shared" si="372"/>
        <v>0.47894990028716533</v>
      </c>
      <c r="AC37" s="3">
        <f t="shared" ref="AC37" si="457">AB37*180/PI()</f>
        <v>27.441807884666186</v>
      </c>
      <c r="AD37" s="3">
        <f t="shared" si="372"/>
        <v>0.50032983674331</v>
      </c>
      <c r="AE37" s="3">
        <f t="shared" ref="AE37:AG37" si="458">AD37*180/PI()</f>
        <v>28.666788009861168</v>
      </c>
      <c r="AF37" s="3">
        <f t="shared" si="372"/>
        <v>0.59388426623063995</v>
      </c>
      <c r="AG37" s="3">
        <f t="shared" si="458"/>
        <v>34.02706197423943</v>
      </c>
      <c r="AH37" s="3">
        <f t="shared" si="372"/>
        <v>0.67445479388735796</v>
      </c>
      <c r="AI37" s="3">
        <f t="shared" ref="AI37" si="459">AH37*180/PI()</f>
        <v>38.643413162111443</v>
      </c>
      <c r="AJ37" s="3">
        <f t="shared" si="372"/>
        <v>0.71402380474541116</v>
      </c>
      <c r="AK37" s="3">
        <f t="shared" ref="AK37" si="460">AJ37*180/PI()</f>
        <v>40.910550483785215</v>
      </c>
      <c r="AL37" s="3">
        <f t="shared" si="372"/>
        <v>0.76891885700220042</v>
      </c>
      <c r="AM37" s="3">
        <f t="shared" ref="AM37" si="461">AL37*180/PI()</f>
        <v>44.055805294249346</v>
      </c>
      <c r="AN37" s="3">
        <f t="shared" si="383"/>
        <v>0.78773366353632879</v>
      </c>
      <c r="AO37" s="3">
        <f t="shared" ref="AO37" si="462">AN37*180/PI()</f>
        <v>45.133814301010069</v>
      </c>
    </row>
    <row r="38" spans="2:41" ht="15.6" customHeight="1" x14ac:dyDescent="0.4">
      <c r="B38" s="9">
        <v>66</v>
      </c>
      <c r="C38" s="10">
        <f t="shared" si="0"/>
        <v>1.1519173063162575</v>
      </c>
      <c r="D38" s="3">
        <f t="shared" si="1"/>
        <v>3.0328619707477699E-3</v>
      </c>
      <c r="E38" s="3">
        <f t="shared" ref="E38" si="463">D38*180/PI()</f>
        <v>0.17377019076957656</v>
      </c>
      <c r="F38" s="3">
        <f t="shared" si="367"/>
        <v>5.87934268916133E-2</v>
      </c>
      <c r="G38" s="3">
        <f t="shared" ref="G38" si="464">F38*180/PI()</f>
        <v>3.368615224000401</v>
      </c>
      <c r="H38" s="3">
        <f t="shared" si="369"/>
        <v>0.1124870549542883</v>
      </c>
      <c r="I38" s="3">
        <f t="shared" si="351"/>
        <v>6.4450334987368771</v>
      </c>
      <c r="J38" s="3">
        <f t="shared" si="370"/>
        <v>0.16345382216160262</v>
      </c>
      <c r="K38" s="3">
        <f t="shared" si="352"/>
        <v>9.3652141551417536</v>
      </c>
      <c r="L38" s="3">
        <f t="shared" si="371"/>
        <v>0.21126741767025817</v>
      </c>
      <c r="M38" s="3">
        <f t="shared" si="353"/>
        <v>12.104731381133385</v>
      </c>
      <c r="N38" s="3">
        <f t="shared" si="372"/>
        <v>0.25570490385968742</v>
      </c>
      <c r="O38" s="3">
        <f t="shared" si="354"/>
        <v>14.650811791958564</v>
      </c>
      <c r="P38" s="3">
        <f t="shared" si="372"/>
        <v>0.29670633545297082</v>
      </c>
      <c r="Q38" s="3">
        <f t="shared" si="354"/>
        <v>17.000020776248057</v>
      </c>
      <c r="R38" s="3">
        <f t="shared" si="372"/>
        <v>0.33433274689918407</v>
      </c>
      <c r="S38" s="3">
        <f t="shared" ref="S38" si="465">R38*180/PI()</f>
        <v>19.155855350338811</v>
      </c>
      <c r="T38" s="3">
        <f t="shared" si="372"/>
        <v>0.3687280695821531</v>
      </c>
      <c r="U38" s="3">
        <f t="shared" ref="U38" si="466">T38*180/PI()</f>
        <v>21.126562175063523</v>
      </c>
      <c r="V38" s="3">
        <f t="shared" si="372"/>
        <v>0.40008770142076122</v>
      </c>
      <c r="W38" s="3">
        <f t="shared" ref="W38" si="467">V38*180/PI()</f>
        <v>22.923336726499851</v>
      </c>
      <c r="X38" s="3">
        <f t="shared" si="372"/>
        <v>0.42863436787560139</v>
      </c>
      <c r="Y38" s="3">
        <f t="shared" ref="Y38" si="468">X38*180/PI()</f>
        <v>24.558940233529874</v>
      </c>
      <c r="Z38" s="3">
        <f t="shared" si="372"/>
        <v>0.45460068410472754</v>
      </c>
      <c r="AA38" s="3">
        <f t="shared" ref="AA38" si="469">Z38*180/PI()</f>
        <v>26.046700562960858</v>
      </c>
      <c r="AB38" s="3">
        <f t="shared" si="372"/>
        <v>0.47821727640040335</v>
      </c>
      <c r="AC38" s="3">
        <f t="shared" ref="AC38" si="470">AB38*180/PI()</f>
        <v>27.399831627984256</v>
      </c>
      <c r="AD38" s="3">
        <f t="shared" si="372"/>
        <v>0.49970520398026091</v>
      </c>
      <c r="AE38" s="3">
        <f t="shared" ref="AE38:AG38" si="471">AD38*180/PI()</f>
        <v>28.63099918879286</v>
      </c>
      <c r="AF38" s="3">
        <f t="shared" si="372"/>
        <v>0.59437525789048062</v>
      </c>
      <c r="AG38" s="3">
        <f t="shared" si="471"/>
        <v>34.055193724124422</v>
      </c>
      <c r="AH38" s="3">
        <f t="shared" si="372"/>
        <v>0.67672955877979768</v>
      </c>
      <c r="AI38" s="3">
        <f t="shared" ref="AI38" si="472">AH38*180/PI()</f>
        <v>38.773747589832773</v>
      </c>
      <c r="AJ38" s="3">
        <f t="shared" si="372"/>
        <v>0.71744241234787864</v>
      </c>
      <c r="AK38" s="3">
        <f t="shared" ref="AK38" si="473">AJ38*180/PI()</f>
        <v>41.106422271217944</v>
      </c>
      <c r="AL38" s="3">
        <f t="shared" si="372"/>
        <v>0.7742013827453964</v>
      </c>
      <c r="AM38" s="3">
        <f t="shared" ref="AM38" si="474">AL38*180/PI()</f>
        <v>44.358471724503694</v>
      </c>
      <c r="AN38" s="3">
        <f t="shared" si="383"/>
        <v>0.79372586310096183</v>
      </c>
      <c r="AO38" s="3">
        <f t="shared" ref="AO38" si="475">AN38*180/PI()</f>
        <v>45.477142046063676</v>
      </c>
    </row>
    <row r="39" spans="2:41" ht="15.6" customHeight="1" x14ac:dyDescent="0.4">
      <c r="B39" s="9">
        <v>68</v>
      </c>
      <c r="C39" s="10">
        <f t="shared" si="0"/>
        <v>1.1868238913561442</v>
      </c>
      <c r="D39" s="3">
        <f t="shared" si="1"/>
        <v>1.1504022129957919E-2</v>
      </c>
      <c r="E39" s="3">
        <f t="shared" ref="E39" si="476">D39*180/PI()</f>
        <v>0.65913191547168859</v>
      </c>
      <c r="F39" s="3">
        <f t="shared" si="367"/>
        <v>6.4422767820042762E-2</v>
      </c>
      <c r="G39" s="3">
        <f t="shared" ref="G39" si="477">F39*180/PI()</f>
        <v>3.6911527006396656</v>
      </c>
      <c r="H39" s="3">
        <f t="shared" si="369"/>
        <v>0.11563531988475823</v>
      </c>
      <c r="I39" s="3">
        <f t="shared" si="351"/>
        <v>6.625415792041851</v>
      </c>
      <c r="J39" s="3">
        <f t="shared" si="370"/>
        <v>0.16450531541554975</v>
      </c>
      <c r="K39" s="3">
        <f t="shared" si="352"/>
        <v>9.4254602807794008</v>
      </c>
      <c r="L39" s="3">
        <f t="shared" si="371"/>
        <v>0.21060108464648805</v>
      </c>
      <c r="M39" s="3">
        <f t="shared" si="353"/>
        <v>12.066553311121167</v>
      </c>
      <c r="N39" s="3">
        <f t="shared" si="372"/>
        <v>0.25367353598115455</v>
      </c>
      <c r="O39" s="3">
        <f t="shared" si="354"/>
        <v>14.534422985880186</v>
      </c>
      <c r="P39" s="3">
        <f t="shared" si="372"/>
        <v>0.29362409643899651</v>
      </c>
      <c r="Q39" s="3">
        <f t="shared" si="354"/>
        <v>16.823421489296766</v>
      </c>
      <c r="R39" s="3">
        <f t="shared" si="372"/>
        <v>0.33046972618250353</v>
      </c>
      <c r="S39" s="3">
        <f t="shared" ref="S39" si="478">R39*180/PI()</f>
        <v>18.934520567101412</v>
      </c>
      <c r="T39" s="3">
        <f t="shared" si="372"/>
        <v>0.36430996042450686</v>
      </c>
      <c r="U39" s="3">
        <f t="shared" ref="U39" si="479">T39*180/PI()</f>
        <v>20.873423166902295</v>
      </c>
      <c r="V39" s="3">
        <f t="shared" si="372"/>
        <v>0.39529872693879181</v>
      </c>
      <c r="W39" s="3">
        <f t="shared" ref="W39" si="480">V39*180/PI()</f>
        <v>22.648948700487153</v>
      </c>
      <c r="X39" s="3">
        <f t="shared" si="372"/>
        <v>0.42362192902224743</v>
      </c>
      <c r="Y39" s="3">
        <f t="shared" ref="Y39" si="481">X39*180/PI()</f>
        <v>24.271748642165299</v>
      </c>
      <c r="Z39" s="3">
        <f t="shared" si="372"/>
        <v>0.44948064421605172</v>
      </c>
      <c r="AA39" s="3">
        <f t="shared" ref="AA39" si="482">Z39*180/PI()</f>
        <v>25.753343886401101</v>
      </c>
      <c r="AB39" s="3">
        <f t="shared" si="372"/>
        <v>0.47307919528374337</v>
      </c>
      <c r="AC39" s="3">
        <f t="shared" ref="AC39" si="483">AB39*180/PI()</f>
        <v>27.105441265203776</v>
      </c>
      <c r="AD39" s="3">
        <f t="shared" si="372"/>
        <v>0.49461714000408352</v>
      </c>
      <c r="AE39" s="3">
        <f t="shared" ref="AE39:AG39" si="484">AD39*180/PI()</f>
        <v>28.33947459706534</v>
      </c>
      <c r="AF39" s="3">
        <f t="shared" si="372"/>
        <v>0.59026358826990599</v>
      </c>
      <c r="AG39" s="3">
        <f t="shared" si="484"/>
        <v>33.819612408113336</v>
      </c>
      <c r="AH39" s="3">
        <f t="shared" si="372"/>
        <v>0.67445852592454192</v>
      </c>
      <c r="AI39" s="3">
        <f t="shared" ref="AI39" si="485">AH39*180/PI()</f>
        <v>38.643626992091072</v>
      </c>
      <c r="AJ39" s="3">
        <f t="shared" si="372"/>
        <v>0.71641141638213279</v>
      </c>
      <c r="AK39" s="3">
        <f t="shared" ref="AK39" si="486">AJ39*180/PI()</f>
        <v>41.047350553685689</v>
      </c>
      <c r="AL39" s="3">
        <f t="shared" si="372"/>
        <v>0.77524715141780987</v>
      </c>
      <c r="AM39" s="3">
        <f t="shared" ref="AM39" si="487">AL39*180/PI()</f>
        <v>44.418389855779985</v>
      </c>
      <c r="AN39" s="3">
        <f t="shared" si="383"/>
        <v>0.79557594145759769</v>
      </c>
      <c r="AO39" s="3">
        <f t="shared" ref="AO39" si="488">AN39*180/PI()</f>
        <v>45.583143727667405</v>
      </c>
    </row>
    <row r="40" spans="2:41" ht="15.6" customHeight="1" x14ac:dyDescent="0.4">
      <c r="B40" s="9">
        <v>70</v>
      </c>
      <c r="C40" s="10">
        <f t="shared" si="0"/>
        <v>1.2217304763960306</v>
      </c>
      <c r="D40" s="3">
        <f t="shared" si="1"/>
        <v>1.8007083585560805E-2</v>
      </c>
      <c r="E40" s="3">
        <f t="shared" ref="E40" si="489">D40*180/PI()</f>
        <v>1.0317298907919357</v>
      </c>
      <c r="F40" s="3">
        <f t="shared" si="367"/>
        <v>6.7757682798860228E-2</v>
      </c>
      <c r="G40" s="3">
        <f t="shared" ref="G40" si="490">F40*180/PI()</f>
        <v>3.8822292539608667</v>
      </c>
      <c r="H40" s="3">
        <f t="shared" si="369"/>
        <v>0.1161552317271901</v>
      </c>
      <c r="I40" s="3">
        <f t="shared" si="351"/>
        <v>6.6552045463320679</v>
      </c>
      <c r="J40" s="3">
        <f t="shared" si="370"/>
        <v>0.16259638402757778</v>
      </c>
      <c r="K40" s="3">
        <f t="shared" si="352"/>
        <v>9.3160865688685561</v>
      </c>
      <c r="L40" s="3">
        <f t="shared" si="371"/>
        <v>0.20665328935264121</v>
      </c>
      <c r="M40" s="3">
        <f t="shared" si="353"/>
        <v>11.840361302402135</v>
      </c>
      <c r="N40" s="3">
        <f t="shared" si="372"/>
        <v>0.24805841828785591</v>
      </c>
      <c r="O40" s="3">
        <f t="shared" si="354"/>
        <v>14.212700440584941</v>
      </c>
      <c r="P40" s="3">
        <f t="shared" si="372"/>
        <v>0.28668015295801735</v>
      </c>
      <c r="Q40" s="3">
        <f t="shared" si="354"/>
        <v>16.425562834659278</v>
      </c>
      <c r="R40" s="3">
        <f t="shared" si="372"/>
        <v>0.32249468018818883</v>
      </c>
      <c r="S40" s="3">
        <f t="shared" ref="S40" si="491">R40*180/PI()</f>
        <v>18.477584090204466</v>
      </c>
      <c r="T40" s="3">
        <f t="shared" si="372"/>
        <v>0.35555839038754145</v>
      </c>
      <c r="U40" s="3">
        <f t="shared" ref="U40" si="492">T40*180/PI()</f>
        <v>20.371995139671021</v>
      </c>
      <c r="V40" s="3">
        <f t="shared" si="372"/>
        <v>0.38598337477482209</v>
      </c>
      <c r="W40" s="3">
        <f t="shared" ref="W40" si="493">V40*180/PI()</f>
        <v>22.115218336813626</v>
      </c>
      <c r="X40" s="3">
        <f t="shared" si="372"/>
        <v>0.41391721184045022</v>
      </c>
      <c r="Y40" s="3">
        <f t="shared" ref="Y40" si="494">X40*180/PI()</f>
        <v>23.715709306280225</v>
      </c>
      <c r="Z40" s="3">
        <f t="shared" si="372"/>
        <v>0.43952724000924859</v>
      </c>
      <c r="AA40" s="3">
        <f t="shared" ref="AA40" si="495">Z40*180/PI()</f>
        <v>25.183055833563522</v>
      </c>
      <c r="AB40" s="3">
        <f t="shared" si="372"/>
        <v>0.46298892828784938</v>
      </c>
      <c r="AC40" s="3">
        <f t="shared" ref="AC40" si="496">AB40*180/PI()</f>
        <v>26.527311552178901</v>
      </c>
      <c r="AD40" s="3">
        <f t="shared" si="372"/>
        <v>0.48447768856806628</v>
      </c>
      <c r="AE40" s="3">
        <f t="shared" ref="AE40:AG40" si="497">AD40*180/PI()</f>
        <v>27.758526823203692</v>
      </c>
      <c r="AF40" s="3">
        <f t="shared" si="372"/>
        <v>0.58078792102611398</v>
      </c>
      <c r="AG40" s="3">
        <f t="shared" si="497"/>
        <v>33.276696666973699</v>
      </c>
      <c r="AH40" s="3">
        <f t="shared" si="372"/>
        <v>0.66675824799818295</v>
      </c>
      <c r="AI40" s="3">
        <f t="shared" ref="AI40" si="498">AH40*180/PI()</f>
        <v>38.202433565832955</v>
      </c>
      <c r="AJ40" s="3">
        <f t="shared" si="372"/>
        <v>0.71000380540473618</v>
      </c>
      <c r="AK40" s="3">
        <f t="shared" ref="AK40" si="499">AJ40*180/PI()</f>
        <v>40.680221487919169</v>
      </c>
      <c r="AL40" s="3">
        <f t="shared" si="372"/>
        <v>0.77109291958016857</v>
      </c>
      <c r="AM40" s="3">
        <f t="shared" ref="AM40" si="500">AL40*180/PI()</f>
        <v>44.180369904364255</v>
      </c>
      <c r="AN40" s="3">
        <f t="shared" si="383"/>
        <v>0.79231569535282242</v>
      </c>
      <c r="AO40" s="3">
        <f t="shared" ref="AO40" si="501">AN40*180/PI()</f>
        <v>45.396345385689813</v>
      </c>
    </row>
    <row r="41" spans="2:41" ht="15.6" customHeight="1" x14ac:dyDescent="0.4">
      <c r="B41" s="9">
        <v>72</v>
      </c>
      <c r="C41" s="10">
        <f t="shared" si="0"/>
        <v>1.2566370614359172</v>
      </c>
      <c r="D41" s="3">
        <f t="shared" si="1"/>
        <v>2.2603420784890384E-2</v>
      </c>
      <c r="E41" s="3">
        <f t="shared" ref="E41" si="502">D41*180/PI()</f>
        <v>1.2950806135325017</v>
      </c>
      <c r="F41" s="3">
        <f t="shared" si="367"/>
        <v>6.8838898638214366E-2</v>
      </c>
      <c r="G41" s="3">
        <f t="shared" ref="G41" si="503">F41*180/PI()</f>
        <v>3.944178358298553</v>
      </c>
      <c r="H41" s="3">
        <f t="shared" si="369"/>
        <v>0.11405603074198636</v>
      </c>
      <c r="I41" s="3">
        <f t="shared" si="351"/>
        <v>6.5349291895301898</v>
      </c>
      <c r="J41" s="3">
        <f t="shared" si="370"/>
        <v>0.15769420218457392</v>
      </c>
      <c r="K41" s="3">
        <f t="shared" si="352"/>
        <v>9.0352122388587723</v>
      </c>
      <c r="L41" s="3">
        <f t="shared" si="371"/>
        <v>0.19933972367357317</v>
      </c>
      <c r="M41" s="3">
        <f t="shared" si="353"/>
        <v>11.421324855799805</v>
      </c>
      <c r="N41" s="3">
        <f t="shared" si="372"/>
        <v>0.2387161934329228</v>
      </c>
      <c r="O41" s="3">
        <f t="shared" si="354"/>
        <v>13.677430385135056</v>
      </c>
      <c r="P41" s="3">
        <f t="shared" si="372"/>
        <v>0.27566675382254435</v>
      </c>
      <c r="Q41" s="3">
        <f t="shared" si="354"/>
        <v>15.794541546103645</v>
      </c>
      <c r="R41" s="3">
        <f t="shared" si="372"/>
        <v>0.31013240152978716</v>
      </c>
      <c r="S41" s="3">
        <f t="shared" ref="S41" si="504">R41*180/PI()</f>
        <v>17.769277697913399</v>
      </c>
      <c r="T41" s="3">
        <f t="shared" si="372"/>
        <v>0.342129730326663</v>
      </c>
      <c r="U41" s="3">
        <f t="shared" ref="U41" si="505">T41*180/PI()</f>
        <v>19.602589593666799</v>
      </c>
      <c r="V41" s="3">
        <f t="shared" si="372"/>
        <v>0.37173038918376466</v>
      </c>
      <c r="W41" s="3">
        <f t="shared" ref="W41" si="506">V41*180/PI()</f>
        <v>21.298582416985262</v>
      </c>
      <c r="X41" s="3">
        <f t="shared" si="372"/>
        <v>0.39904349213609552</v>
      </c>
      <c r="Y41" s="3">
        <f t="shared" ref="Y41" si="507">X41*180/PI()</f>
        <v>22.86350794156013</v>
      </c>
      <c r="Z41" s="3">
        <f t="shared" si="372"/>
        <v>0.42420140688226188</v>
      </c>
      <c r="AA41" s="3">
        <f t="shared" ref="AA41" si="508">Z41*180/PI()</f>
        <v>24.304950277865402</v>
      </c>
      <c r="AB41" s="3">
        <f t="shared" si="372"/>
        <v>0.44734881993401571</v>
      </c>
      <c r="AC41" s="3">
        <f t="shared" ref="AC41" si="509">AB41*180/PI()</f>
        <v>25.631199352376928</v>
      </c>
      <c r="AD41" s="3">
        <f t="shared" si="372"/>
        <v>0.46863468879595482</v>
      </c>
      <c r="AE41" s="3">
        <f t="shared" ref="AE41:AG41" si="510">AD41*180/PI()</f>
        <v>26.850789801434978</v>
      </c>
      <c r="AF41" s="3">
        <f t="shared" si="372"/>
        <v>0.56505274757124846</v>
      </c>
      <c r="AG41" s="3">
        <f t="shared" si="510"/>
        <v>32.37513763810361</v>
      </c>
      <c r="AH41" s="3">
        <f t="shared" si="372"/>
        <v>0.65254151513553582</v>
      </c>
      <c r="AI41" s="3">
        <f t="shared" ref="AI41" si="511">AH41*180/PI()</f>
        <v>37.387874774338336</v>
      </c>
      <c r="AJ41" s="3">
        <f t="shared" si="372"/>
        <v>0.69705507733200833</v>
      </c>
      <c r="AK41" s="3">
        <f t="shared" ref="AK41" si="512">AJ41*180/PI()</f>
        <v>39.938314019289294</v>
      </c>
      <c r="AL41" s="3">
        <f t="shared" si="372"/>
        <v>0.76049607573408617</v>
      </c>
      <c r="AM41" s="3">
        <f t="shared" ref="AM41" si="513">AL41*180/PI()</f>
        <v>43.573215475824561</v>
      </c>
      <c r="AN41" s="3">
        <f t="shared" si="383"/>
        <v>0.78268537763026724</v>
      </c>
      <c r="AO41" s="3">
        <f t="shared" ref="AO41" si="514">AN41*180/PI()</f>
        <v>44.844568824817372</v>
      </c>
    </row>
    <row r="42" spans="2:41" ht="15.6" customHeight="1" x14ac:dyDescent="0.4">
      <c r="B42" s="9">
        <v>74</v>
      </c>
      <c r="C42" s="10">
        <f t="shared" si="0"/>
        <v>1.2915436464758039</v>
      </c>
      <c r="D42" s="3">
        <f t="shared" si="1"/>
        <v>2.5375004260570422E-2</v>
      </c>
      <c r="E42" s="3">
        <f t="shared" ref="E42" si="515">D42*180/PI()</f>
        <v>1.4538806492571676</v>
      </c>
      <c r="F42" s="3">
        <f t="shared" si="367"/>
        <v>6.7733723652616026E-2</v>
      </c>
      <c r="G42" s="3">
        <f t="shared" ref="G42" si="516">F42*180/PI()</f>
        <v>3.8808564960003369</v>
      </c>
      <c r="H42" s="3">
        <f t="shared" si="369"/>
        <v>0.10937925958683073</v>
      </c>
      <c r="I42" s="3">
        <f t="shared" si="351"/>
        <v>6.2669699405912498</v>
      </c>
      <c r="J42" s="3">
        <f t="shared" si="370"/>
        <v>0.14980285766456902</v>
      </c>
      <c r="K42" s="3">
        <f t="shared" si="352"/>
        <v>8.5830715031788021</v>
      </c>
      <c r="L42" s="3">
        <f t="shared" si="371"/>
        <v>0.18861569256628732</v>
      </c>
      <c r="M42" s="3">
        <f t="shared" si="353"/>
        <v>10.80688313398532</v>
      </c>
      <c r="N42" s="3">
        <f t="shared" si="372"/>
        <v>0.22554328977835789</v>
      </c>
      <c r="O42" s="3">
        <f t="shared" si="354"/>
        <v>12.922678601796028</v>
      </c>
      <c r="P42" s="3">
        <f t="shared" si="372"/>
        <v>0.26041323554605073</v>
      </c>
      <c r="Q42" s="3">
        <f t="shared" si="354"/>
        <v>14.920579326134893</v>
      </c>
      <c r="R42" s="3">
        <f t="shared" si="372"/>
        <v>0.29313914365405053</v>
      </c>
      <c r="S42" s="3">
        <f t="shared" ref="S42" si="517">R42*180/PI()</f>
        <v>16.795635741456245</v>
      </c>
      <c r="T42" s="3">
        <f t="shared" si="372"/>
        <v>0.32370344204141754</v>
      </c>
      <c r="U42" s="3">
        <f t="shared" ref="U42" si="518">T42*180/PI()</f>
        <v>18.546841042830884</v>
      </c>
      <c r="V42" s="3">
        <f t="shared" si="372"/>
        <v>0.35214085091430936</v>
      </c>
      <c r="W42" s="3">
        <f t="shared" ref="W42" si="519">V42*180/PI()</f>
        <v>20.176184551535464</v>
      </c>
      <c r="X42" s="3">
        <f t="shared" si="372"/>
        <v>0.37852369732825625</v>
      </c>
      <c r="Y42" s="3">
        <f t="shared" ref="Y42" si="520">X42*180/PI()</f>
        <v>21.687810302596478</v>
      </c>
      <c r="Z42" s="3">
        <f t="shared" si="372"/>
        <v>0.40294960003785535</v>
      </c>
      <c r="AA42" s="3">
        <f t="shared" ref="AA42" si="521">Z42*180/PI()</f>
        <v>23.087311438653668</v>
      </c>
      <c r="AB42" s="3">
        <f t="shared" si="372"/>
        <v>0.42553162020797042</v>
      </c>
      <c r="AC42" s="3">
        <f t="shared" ref="AC42" si="522">AB42*180/PI()</f>
        <v>24.381165887280556</v>
      </c>
      <c r="AD42" s="3">
        <f t="shared" si="372"/>
        <v>0.44639070358435473</v>
      </c>
      <c r="AE42" s="3">
        <f t="shared" ref="AE42:AG42" si="523">AD42*180/PI()</f>
        <v>25.576303329258877</v>
      </c>
      <c r="AF42" s="3">
        <f t="shared" si="372"/>
        <v>0.54202648537668008</v>
      </c>
      <c r="AG42" s="3">
        <f t="shared" si="523"/>
        <v>31.055829996393204</v>
      </c>
      <c r="AH42" s="3">
        <f t="shared" si="372"/>
        <v>0.63048254116014613</v>
      </c>
      <c r="AI42" s="3">
        <f t="shared" ref="AI42" si="524">AH42*180/PI()</f>
        <v>36.12398866515958</v>
      </c>
      <c r="AJ42" s="3">
        <f t="shared" si="372"/>
        <v>0.67610774775788662</v>
      </c>
      <c r="AK42" s="3">
        <f t="shared" ref="AK42" si="525">AJ42*180/PI()</f>
        <v>38.738120442622552</v>
      </c>
      <c r="AL42" s="3">
        <f t="shared" si="372"/>
        <v>0.74184760697695118</v>
      </c>
      <c r="AM42" s="3">
        <f t="shared" ref="AM42" si="526">AL42*180/PI()</f>
        <v>42.504736921659145</v>
      </c>
      <c r="AN42" s="3">
        <f t="shared" si="383"/>
        <v>0.76503566988516258</v>
      </c>
      <c r="AO42" s="3">
        <f t="shared" ref="AO42" si="527">AN42*180/PI()</f>
        <v>43.833315061383509</v>
      </c>
    </row>
    <row r="43" spans="2:41" ht="15.6" customHeight="1" x14ac:dyDescent="0.4">
      <c r="B43" s="9">
        <v>76</v>
      </c>
      <c r="C43" s="10">
        <f t="shared" si="0"/>
        <v>1.3264502315156903</v>
      </c>
      <c r="D43" s="3">
        <f t="shared" si="1"/>
        <v>2.6427309596388539E-2</v>
      </c>
      <c r="E43" s="3">
        <f t="shared" ref="E43" si="528">D43*180/PI()</f>
        <v>1.5141733037586422</v>
      </c>
      <c r="F43" s="3">
        <f t="shared" si="367"/>
        <v>6.4541117429300798E-2</v>
      </c>
      <c r="G43" s="3">
        <f t="shared" ref="G43" si="529">F43*180/PI()</f>
        <v>3.6979336337571729</v>
      </c>
      <c r="H43" s="3">
        <f t="shared" si="369"/>
        <v>0.10220682590700365</v>
      </c>
      <c r="I43" s="3">
        <f t="shared" si="351"/>
        <v>5.8560197618996721</v>
      </c>
      <c r="J43" s="3">
        <f t="shared" si="370"/>
        <v>0.13897521532198728</v>
      </c>
      <c r="K43" s="3">
        <f t="shared" si="352"/>
        <v>7.9626932948717233</v>
      </c>
      <c r="L43" s="3">
        <f t="shared" si="371"/>
        <v>0.17449242391855213</v>
      </c>
      <c r="M43" s="3">
        <f t="shared" si="353"/>
        <v>9.997679447540655</v>
      </c>
      <c r="N43" s="3">
        <f t="shared" si="372"/>
        <v>0.20849704267299463</v>
      </c>
      <c r="O43" s="3">
        <f t="shared" si="354"/>
        <v>11.946000586121617</v>
      </c>
      <c r="P43" s="3">
        <f t="shared" si="372"/>
        <v>0.24081197321393916</v>
      </c>
      <c r="Q43" s="3">
        <f t="shared" si="354"/>
        <v>13.797509721376144</v>
      </c>
      <c r="R43" s="3">
        <f t="shared" si="372"/>
        <v>0.27133306801630563</v>
      </c>
      <c r="S43" s="3">
        <f t="shared" ref="S43" si="530">R43*180/PI()</f>
        <v>15.546239639670416</v>
      </c>
      <c r="T43" s="3">
        <f t="shared" si="372"/>
        <v>0.30001638527191188</v>
      </c>
      <c r="U43" s="3">
        <f t="shared" ref="U43" si="531">T43*180/PI()</f>
        <v>17.189672660851421</v>
      </c>
      <c r="V43" s="3">
        <f t="shared" si="372"/>
        <v>0.32686548537478599</v>
      </c>
      <c r="W43" s="3">
        <f t="shared" ref="W43" si="532">V43*180/PI()</f>
        <v>18.728012780470372</v>
      </c>
      <c r="X43" s="3">
        <f t="shared" si="372"/>
        <v>0.3519197270209854</v>
      </c>
      <c r="Y43" s="3">
        <f t="shared" ref="Y43" si="533">X43*180/PI()</f>
        <v>20.163515085698499</v>
      </c>
      <c r="Z43" s="3">
        <f t="shared" si="372"/>
        <v>0.3752440946424197</v>
      </c>
      <c r="AA43" s="3">
        <f t="shared" ref="AA43" si="534">Z43*180/PI()</f>
        <v>21.499902910218278</v>
      </c>
      <c r="AB43" s="3">
        <f t="shared" si="372"/>
        <v>0.39692075742823935</v>
      </c>
      <c r="AC43" s="3">
        <f t="shared" ref="AC43" si="535">AB43*180/PI()</f>
        <v>22.741884201774031</v>
      </c>
      <c r="AD43" s="3">
        <f t="shared" si="372"/>
        <v>0.41704233446043959</v>
      </c>
      <c r="AE43" s="3">
        <f t="shared" ref="AE43:AG43" si="536">AD43*180/PI()</f>
        <v>23.894765642866481</v>
      </c>
      <c r="AF43" s="3">
        <f t="shared" si="372"/>
        <v>0.51056199477721498</v>
      </c>
      <c r="AG43" s="3">
        <f t="shared" si="536"/>
        <v>29.253047480514802</v>
      </c>
      <c r="AH43" s="3">
        <f t="shared" si="372"/>
        <v>0.59899553198275945</v>
      </c>
      <c r="AI43" s="3">
        <f t="shared" ref="AI43" si="537">AH43*180/PI()</f>
        <v>34.319915929805639</v>
      </c>
      <c r="AJ43" s="3">
        <f t="shared" si="372"/>
        <v>0.64535940669088465</v>
      </c>
      <c r="AK43" s="3">
        <f t="shared" ref="AK43" si="538">AJ43*180/PI()</f>
        <v>36.976370272454552</v>
      </c>
      <c r="AL43" s="3">
        <f t="shared" si="372"/>
        <v>0.71306855062576913</v>
      </c>
      <c r="AM43" s="3">
        <f t="shared" ref="AM43" si="539">AL43*180/PI()</f>
        <v>40.855818454367252</v>
      </c>
      <c r="AN43" s="3">
        <f t="shared" si="383"/>
        <v>0.73720470525262238</v>
      </c>
      <c r="AO43" s="3">
        <f t="shared" ref="AO43" si="540">AN43*180/PI()</f>
        <v>42.238718248161092</v>
      </c>
    </row>
    <row r="44" spans="2:41" ht="15.6" customHeight="1" x14ac:dyDescent="0.4">
      <c r="B44" s="9">
        <v>78</v>
      </c>
      <c r="C44" s="10">
        <f t="shared" si="0"/>
        <v>1.3613568165555769</v>
      </c>
      <c r="D44" s="3">
        <f t="shared" si="1"/>
        <v>2.5891592001802195E-2</v>
      </c>
      <c r="E44" s="3">
        <f t="shared" ref="E44" si="541">D44*180/PI()</f>
        <v>1.4834789465779445</v>
      </c>
      <c r="F44" s="3">
        <f t="shared" si="367"/>
        <v>5.9396066350139061E-2</v>
      </c>
      <c r="G44" s="3">
        <f t="shared" ref="G44" si="542">F44*180/PI()</f>
        <v>3.4031439215419756</v>
      </c>
      <c r="H44" s="3">
        <f t="shared" si="369"/>
        <v>9.26685327654201E-2</v>
      </c>
      <c r="I44" s="3">
        <f t="shared" si="351"/>
        <v>5.3095158211283549</v>
      </c>
      <c r="J44" s="3">
        <f t="shared" si="370"/>
        <v>0.12532478451943138</v>
      </c>
      <c r="K44" s="3">
        <f t="shared" si="352"/>
        <v>7.1805812213498932</v>
      </c>
      <c r="L44" s="3">
        <f t="shared" si="371"/>
        <v>0.15705443656775611</v>
      </c>
      <c r="M44" s="3">
        <f t="shared" si="353"/>
        <v>8.9985563691375283</v>
      </c>
      <c r="N44" s="3">
        <f t="shared" si="372"/>
        <v>0.18761954583109078</v>
      </c>
      <c r="O44" s="3">
        <f t="shared" si="354"/>
        <v>10.749808130282821</v>
      </c>
      <c r="P44" s="3">
        <f t="shared" si="372"/>
        <v>0.21684938015222371</v>
      </c>
      <c r="Q44" s="3">
        <f t="shared" si="354"/>
        <v>12.424554272750379</v>
      </c>
      <c r="R44" s="3">
        <f t="shared" si="372"/>
        <v>0.24463265672964449</v>
      </c>
      <c r="S44" s="3">
        <f t="shared" ref="S44" si="543">R44*180/PI()</f>
        <v>14.016418761681265</v>
      </c>
      <c r="T44" s="3">
        <f t="shared" si="372"/>
        <v>0.2709084897463801</v>
      </c>
      <c r="U44" s="3">
        <f t="shared" ref="U44" si="544">T44*180/PI()</f>
        <v>15.521913096730719</v>
      </c>
      <c r="V44" s="3">
        <f t="shared" si="372"/>
        <v>0.29565706043421408</v>
      </c>
      <c r="W44" s="3">
        <f t="shared" ref="W44" si="545">V44*180/PI()</f>
        <v>16.939901746124786</v>
      </c>
      <c r="X44" s="3">
        <f t="shared" si="372"/>
        <v>0.31889073886229641</v>
      </c>
      <c r="Y44" s="3">
        <f t="shared" ref="Y44" si="546">X44*180/PI()</f>
        <v>18.271093462618047</v>
      </c>
      <c r="Z44" s="3">
        <f t="shared" si="372"/>
        <v>0.34064611120467719</v>
      </c>
      <c r="AA44" s="3">
        <f t="shared" ref="AA44" si="547">Z44*180/PI()</f>
        <v>19.517584479572104</v>
      </c>
      <c r="AB44" s="3">
        <f t="shared" si="372"/>
        <v>0.36097713699255951</v>
      </c>
      <c r="AC44" s="3">
        <f t="shared" ref="AC44" si="548">AB44*180/PI()</f>
        <v>20.682466450389406</v>
      </c>
      <c r="AD44" s="3">
        <f t="shared" si="372"/>
        <v>0.37994949179285442</v>
      </c>
      <c r="AE44" s="3">
        <f t="shared" ref="AE44:AG44" si="549">AD44*180/PI()</f>
        <v>21.769502307871072</v>
      </c>
      <c r="AF44" s="3">
        <f t="shared" si="372"/>
        <v>0.46945946203394273</v>
      </c>
      <c r="AG44" s="3">
        <f t="shared" si="549"/>
        <v>26.898045827027026</v>
      </c>
      <c r="AH44" s="3">
        <f t="shared" si="372"/>
        <v>0.55625317386407613</v>
      </c>
      <c r="AI44" s="3">
        <f t="shared" ref="AI44" si="550">AH44*180/PI()</f>
        <v>31.870959203168354</v>
      </c>
      <c r="AJ44" s="3">
        <f t="shared" si="372"/>
        <v>0.60264044044561282</v>
      </c>
      <c r="AK44" s="3">
        <f t="shared" ref="AK44" si="551">AJ44*180/PI()</f>
        <v>34.528753801438647</v>
      </c>
      <c r="AL44" s="3">
        <f t="shared" si="372"/>
        <v>0.67150823596604514</v>
      </c>
      <c r="AM44" s="3">
        <f t="shared" ref="AM44" si="552">AL44*180/PI()</f>
        <v>38.474587829129376</v>
      </c>
      <c r="AN44" s="3">
        <f t="shared" si="383"/>
        <v>0.69638336157718483</v>
      </c>
      <c r="AO44" s="3">
        <f t="shared" ref="AO44" si="553">AN44*180/PI()</f>
        <v>39.899827541505466</v>
      </c>
    </row>
    <row r="45" spans="2:41" ht="15.6" customHeight="1" x14ac:dyDescent="0.4">
      <c r="B45" s="9">
        <v>80</v>
      </c>
      <c r="C45" s="10">
        <f t="shared" si="0"/>
        <v>1.3962634015954636</v>
      </c>
      <c r="D45" s="3">
        <f t="shared" si="1"/>
        <v>2.3926244324942135E-2</v>
      </c>
      <c r="E45" s="3">
        <f t="shared" ref="E45" si="554">D45*180/PI()</f>
        <v>1.3708728194180217</v>
      </c>
      <c r="F45" s="3">
        <f t="shared" si="367"/>
        <v>5.2472745324501684E-2</v>
      </c>
      <c r="G45" s="3">
        <f t="shared" ref="G45" si="555">F45*180/PI()</f>
        <v>3.0064668465587698</v>
      </c>
      <c r="H45" s="3">
        <f t="shared" si="369"/>
        <v>8.094821878395278E-2</v>
      </c>
      <c r="I45" s="3">
        <f t="shared" si="351"/>
        <v>4.6379912954221076</v>
      </c>
      <c r="J45" s="3">
        <f t="shared" si="370"/>
        <v>0.10903631506187247</v>
      </c>
      <c r="K45" s="3">
        <f t="shared" si="352"/>
        <v>6.2473206667040229</v>
      </c>
      <c r="L45" s="3">
        <f t="shared" si="371"/>
        <v>0.13647625915791786</v>
      </c>
      <c r="M45" s="3">
        <f t="shared" si="353"/>
        <v>7.8195136534823444</v>
      </c>
      <c r="N45" s="3">
        <f t="shared" si="372"/>
        <v>0.16306218224217392</v>
      </c>
      <c r="O45" s="3">
        <f t="shared" si="354"/>
        <v>9.3427748406696445</v>
      </c>
      <c r="P45" s="3">
        <f t="shared" si="372"/>
        <v>0.1886397771207263</v>
      </c>
      <c r="Q45" s="3">
        <f t="shared" si="354"/>
        <v>10.808263077306126</v>
      </c>
      <c r="R45" s="3">
        <f t="shared" si="372"/>
        <v>0.21310112159477146</v>
      </c>
      <c r="S45" s="3">
        <f t="shared" ref="S45" si="556">R45*180/PI()</f>
        <v>12.209794876884571</v>
      </c>
      <c r="T45" s="3">
        <f t="shared" si="372"/>
        <v>0.23637847139396836</v>
      </c>
      <c r="U45" s="3">
        <f t="shared" ref="U45" si="557">T45*180/PI()</f>
        <v>13.543488778628248</v>
      </c>
      <c r="V45" s="3">
        <f t="shared" si="372"/>
        <v>0.25843769723349858</v>
      </c>
      <c r="W45" s="3">
        <f t="shared" ref="W45" si="558">V45*180/PI()</f>
        <v>14.80738931855926</v>
      </c>
      <c r="X45" s="3">
        <f t="shared" si="372"/>
        <v>0.27927187492036032</v>
      </c>
      <c r="Y45" s="3">
        <f t="shared" ref="Y45" si="559">X45*180/PI()</f>
        <v>16.001099769642071</v>
      </c>
      <c r="Z45" s="3">
        <f t="shared" si="372"/>
        <v>0.29889536993181687</v>
      </c>
      <c r="AA45" s="3">
        <f t="shared" ref="AA45" si="560">Z45*180/PI()</f>
        <v>17.125443213094556</v>
      </c>
      <c r="AB45" s="3">
        <f t="shared" si="372"/>
        <v>0.31733861160509108</v>
      </c>
      <c r="AC45" s="3">
        <f t="shared" ref="AC45" si="561">AB45*180/PI()</f>
        <v>18.182163121512964</v>
      </c>
      <c r="AD45" s="3">
        <f t="shared" si="372"/>
        <v>0.33464363764138128</v>
      </c>
      <c r="AE45" s="3">
        <f t="shared" ref="AE45:AG45" si="562">AD45*180/PI()</f>
        <v>19.173668077756396</v>
      </c>
      <c r="AF45" s="3">
        <f t="shared" si="372"/>
        <v>0.41760004255423011</v>
      </c>
      <c r="AG45" s="3">
        <f t="shared" si="562"/>
        <v>23.926719962840963</v>
      </c>
      <c r="AH45" s="3">
        <f t="shared" si="372"/>
        <v>0.5002952089831697</v>
      </c>
      <c r="AI45" s="3">
        <f t="shared" ref="AI45" si="563">AH45*180/PI()</f>
        <v>28.664803985351135</v>
      </c>
      <c r="AJ45" s="3">
        <f t="shared" si="372"/>
        <v>0.54547953190071086</v>
      </c>
      <c r="AK45" s="3">
        <f t="shared" ref="AK45" si="564">AJ45*180/PI()</f>
        <v>31.253674988682487</v>
      </c>
      <c r="AL45" s="3">
        <f t="shared" si="372"/>
        <v>0.61390257140201321</v>
      </c>
      <c r="AM45" s="3">
        <f t="shared" ref="AM45" si="565">AL45*180/PI()</f>
        <v>35.174026373564026</v>
      </c>
      <c r="AN45" s="3">
        <f t="shared" si="383"/>
        <v>0.63902249677392353</v>
      </c>
      <c r="AO45" s="3">
        <f t="shared" ref="AO45" si="566">AN45*180/PI()</f>
        <v>36.613292079058084</v>
      </c>
    </row>
    <row r="46" spans="2:41" ht="15.6" customHeight="1" x14ac:dyDescent="0.4">
      <c r="B46" s="9">
        <v>82</v>
      </c>
      <c r="C46" s="10">
        <f t="shared" si="0"/>
        <v>1.43116998663535</v>
      </c>
      <c r="D46" s="3">
        <f t="shared" si="1"/>
        <v>2.0716970581727751E-2</v>
      </c>
      <c r="E46" s="3">
        <f t="shared" ref="E46" si="567">D46*180/PI()</f>
        <v>1.1869949786296861</v>
      </c>
      <c r="F46" s="3">
        <f t="shared" si="367"/>
        <v>4.3985921828534884E-2</v>
      </c>
      <c r="G46" s="3">
        <f t="shared" ref="G46" si="568">F46*180/PI()</f>
        <v>2.5202076787674095</v>
      </c>
      <c r="H46" s="3">
        <f t="shared" si="369"/>
        <v>6.7287517916457762E-2</v>
      </c>
      <c r="I46" s="3">
        <f t="shared" si="351"/>
        <v>3.8552907905239406</v>
      </c>
      <c r="J46" s="3">
        <f t="shared" si="370"/>
        <v>9.0373490104274964E-2</v>
      </c>
      <c r="K46" s="3">
        <f t="shared" si="352"/>
        <v>5.1780195628422652</v>
      </c>
      <c r="L46" s="3">
        <f t="shared" si="371"/>
        <v>0.11303604822359975</v>
      </c>
      <c r="M46" s="3">
        <f t="shared" si="353"/>
        <v>6.4764884960495124</v>
      </c>
      <c r="N46" s="3">
        <f t="shared" si="372"/>
        <v>0.13510745683215811</v>
      </c>
      <c r="O46" s="3">
        <f t="shared" si="354"/>
        <v>7.7410870572286195</v>
      </c>
      <c r="P46" s="3">
        <f t="shared" si="372"/>
        <v>0.15645784892996997</v>
      </c>
      <c r="Q46" s="3">
        <f t="shared" si="354"/>
        <v>8.9643744153827019</v>
      </c>
      <c r="R46" s="3">
        <f t="shared" si="372"/>
        <v>0.17699181188186747</v>
      </c>
      <c r="S46" s="3">
        <f t="shared" ref="S46" si="569">R46*180/PI()</f>
        <v>10.140883829204423</v>
      </c>
      <c r="T46" s="3">
        <f t="shared" si="372"/>
        <v>0.19664424752127252</v>
      </c>
      <c r="U46" s="3">
        <f t="shared" ref="U46" si="570">T46*180/PI()</f>
        <v>11.266885448494815</v>
      </c>
      <c r="V46" s="3">
        <f t="shared" si="372"/>
        <v>0.21537593202392422</v>
      </c>
      <c r="W46" s="3">
        <f t="shared" ref="W46" si="571">V46*180/PI()</f>
        <v>12.340131913667369</v>
      </c>
      <c r="X46" s="3">
        <f t="shared" si="372"/>
        <v>0.233169104500976</v>
      </c>
      <c r="Y46" s="3">
        <f t="shared" ref="Y46" si="572">X46*180/PI()</f>
        <v>13.359605600750772</v>
      </c>
      <c r="Z46" s="3">
        <f t="shared" si="372"/>
        <v>0.2500233149755105</v>
      </c>
      <c r="AA46" s="3">
        <f t="shared" ref="AA46" si="573">Z46*180/PI()</f>
        <v>14.325280727966785</v>
      </c>
      <c r="AB46" s="3">
        <f t="shared" si="372"/>
        <v>0.26595167464154595</v>
      </c>
      <c r="AC46" s="3">
        <f t="shared" ref="AC46" si="574">AB46*180/PI()</f>
        <v>15.237908511397025</v>
      </c>
      <c r="AD46" s="3">
        <f t="shared" si="372"/>
        <v>0.28097758019766178</v>
      </c>
      <c r="AE46" s="3">
        <f t="shared" ref="AE46:AG46" si="575">AD46*180/PI()</f>
        <v>16.098829483124636</v>
      </c>
      <c r="AF46" s="3">
        <f t="shared" si="372"/>
        <v>0.35418117365978402</v>
      </c>
      <c r="AG46" s="3">
        <f t="shared" si="575"/>
        <v>20.293086433695706</v>
      </c>
      <c r="AH46" s="3">
        <f t="shared" si="372"/>
        <v>0.42930730064557798</v>
      </c>
      <c r="AI46" s="3">
        <f t="shared" ref="AI46" si="576">AH46*180/PI()</f>
        <v>24.597496441145584</v>
      </c>
      <c r="AJ46" s="3">
        <f t="shared" si="372"/>
        <v>0.47136701955316213</v>
      </c>
      <c r="AK46" s="3">
        <f t="shared" ref="AK46" si="577">AJ46*180/PI()</f>
        <v>27.007340822056744</v>
      </c>
      <c r="AL46" s="3">
        <f t="shared" ref="AL46:AL50" si="578">ATAN(_xlfn.COT($C46)*((AL$3^2*(SIN($C46))^2-1)/(1+(((1.4+1)/(2))-(SIN($C46))^2)*AL$3^2)))</f>
        <v>0.53653727293284292</v>
      </c>
      <c r="AM46" s="3">
        <f t="shared" ref="AM46" si="579">AL46*180/PI()</f>
        <v>30.741321290510641</v>
      </c>
      <c r="AN46" s="3">
        <f t="shared" si="383"/>
        <v>0.56093300739831775</v>
      </c>
      <c r="AO46" s="3">
        <f t="shared" ref="AO46" si="580">AN46*180/PI()</f>
        <v>32.13909391350419</v>
      </c>
    </row>
    <row r="47" spans="2:41" ht="15.6" customHeight="1" x14ac:dyDescent="0.4">
      <c r="B47" s="9">
        <v>84</v>
      </c>
      <c r="C47" s="10">
        <f t="shared" si="0"/>
        <v>1.4660765716752369</v>
      </c>
      <c r="D47" s="3">
        <f t="shared" si="1"/>
        <v>1.6475561829985091E-2</v>
      </c>
      <c r="E47" s="3">
        <f t="shared" ref="E47" si="581">D47*180/PI()</f>
        <v>0.94398015796498091</v>
      </c>
      <c r="F47" s="3">
        <f t="shared" si="367"/>
        <v>3.4190114345399737E-2</v>
      </c>
      <c r="G47" s="3">
        <f t="shared" ref="G47" si="582">F47*180/PI()</f>
        <v>1.9589492530610964</v>
      </c>
      <c r="H47" s="3">
        <f t="shared" si="369"/>
        <v>5.1986254041596229E-2</v>
      </c>
      <c r="I47" s="3">
        <f t="shared" si="351"/>
        <v>2.978592949278382</v>
      </c>
      <c r="J47" s="3">
        <f t="shared" si="370"/>
        <v>6.9681926012739315E-2</v>
      </c>
      <c r="K47" s="3">
        <f t="shared" si="352"/>
        <v>3.9924802688728276</v>
      </c>
      <c r="L47" s="3">
        <f t="shared" si="371"/>
        <v>8.7123136050954925E-2</v>
      </c>
      <c r="M47" s="3">
        <f t="shared" si="353"/>
        <v>4.9917879936637872</v>
      </c>
      <c r="N47" s="3">
        <f t="shared" si="372"/>
        <v>0.10418359014746471</v>
      </c>
      <c r="O47" s="3">
        <f t="shared" si="354"/>
        <v>5.9692800099704746</v>
      </c>
      <c r="P47" s="3">
        <f t="shared" si="372"/>
        <v>0.12076323658978952</v>
      </c>
      <c r="Q47" s="3">
        <f t="shared" si="354"/>
        <v>6.9192237769347757</v>
      </c>
      <c r="R47" s="3">
        <f t="shared" si="372"/>
        <v>0.13678604562436664</v>
      </c>
      <c r="S47" s="3">
        <f t="shared" ref="S47" si="583">R47*180/PI()</f>
        <v>7.83726311056013</v>
      </c>
      <c r="T47" s="3">
        <f t="shared" si="372"/>
        <v>0.15219733214416697</v>
      </c>
      <c r="U47" s="3">
        <f t="shared" ref="U47" si="584">T47*180/PI()</f>
        <v>8.7202647850115476</v>
      </c>
      <c r="V47" s="3">
        <f t="shared" si="372"/>
        <v>0.1669608774913495</v>
      </c>
      <c r="W47" s="3">
        <f t="shared" ref="W47" si="585">V47*180/PI()</f>
        <v>9.5661536240551097</v>
      </c>
      <c r="X47" s="3">
        <f t="shared" si="372"/>
        <v>0.1810560489368718</v>
      </c>
      <c r="Y47" s="3">
        <f t="shared" ref="Y47" si="586">X47*180/PI()</f>
        <v>10.373747459396849</v>
      </c>
      <c r="Z47" s="3">
        <f t="shared" si="372"/>
        <v>0.19447505856938366</v>
      </c>
      <c r="AA47" s="3">
        <f t="shared" ref="AA47" si="587">Z47*180/PI()</f>
        <v>11.142600076585175</v>
      </c>
      <c r="AB47" s="3">
        <f t="shared" si="372"/>
        <v>0.20722045285133883</v>
      </c>
      <c r="AC47" s="3">
        <f t="shared" ref="AC47" si="588">AB47*180/PI()</f>
        <v>11.872857377171382</v>
      </c>
      <c r="AD47" s="3">
        <f t="shared" si="372"/>
        <v>0.2193028828009419</v>
      </c>
      <c r="AE47" s="3">
        <f t="shared" ref="AE47:AG47" si="589">AD47*180/PI()</f>
        <v>12.5651296195461</v>
      </c>
      <c r="AF47" s="3">
        <f t="shared" si="372"/>
        <v>0.27906583291293896</v>
      </c>
      <c r="AG47" s="3">
        <f t="shared" si="589"/>
        <v>15.989294432214422</v>
      </c>
      <c r="AH47" s="3">
        <f t="shared" si="372"/>
        <v>0.34216288534090705</v>
      </c>
      <c r="AI47" s="3">
        <f t="shared" ref="AI47" si="590">AH47*180/PI()</f>
        <v>19.604489236052679</v>
      </c>
      <c r="AJ47" s="3">
        <f t="shared" si="372"/>
        <v>0.37837864069967375</v>
      </c>
      <c r="AK47" s="3">
        <f t="shared" ref="AK47" si="591">AJ47*180/PI()</f>
        <v>21.679499169988304</v>
      </c>
      <c r="AL47" s="3">
        <f t="shared" si="578"/>
        <v>0.43590549706126497</v>
      </c>
      <c r="AM47" s="3">
        <f t="shared" ref="AM47" si="592">AL47*180/PI()</f>
        <v>24.975545248162792</v>
      </c>
      <c r="AN47" s="3">
        <f t="shared" si="383"/>
        <v>0.45791457620966075</v>
      </c>
      <c r="AO47" s="3">
        <f t="shared" ref="AO47" si="593">AN47*180/PI()</f>
        <v>26.236572594335257</v>
      </c>
    </row>
    <row r="48" spans="2:41" ht="15.6" customHeight="1" x14ac:dyDescent="0.4">
      <c r="B48" s="9">
        <v>86</v>
      </c>
      <c r="C48" s="10">
        <f t="shared" si="0"/>
        <v>1.5009831567151233</v>
      </c>
      <c r="D48" s="3">
        <f t="shared" si="1"/>
        <v>1.1437159319365982E-2</v>
      </c>
      <c r="E48" s="3">
        <f t="shared" ref="E48" si="594">D48*180/PI()</f>
        <v>0.655300958618388</v>
      </c>
      <c r="F48" s="3">
        <f t="shared" si="367"/>
        <v>2.3376171488022221E-2</v>
      </c>
      <c r="G48" s="3">
        <f t="shared" ref="G48" si="595">F48*180/PI()</f>
        <v>1.3393559674377227</v>
      </c>
      <c r="H48" s="3">
        <f t="shared" si="369"/>
        <v>3.5398686954169638E-2</v>
      </c>
      <c r="I48" s="3">
        <f t="shared" si="351"/>
        <v>2.0281953627787273</v>
      </c>
      <c r="J48" s="3">
        <f t="shared" si="370"/>
        <v>4.738587707560999E-2</v>
      </c>
      <c r="K48" s="3">
        <f t="shared" si="352"/>
        <v>2.7150107649581723</v>
      </c>
      <c r="L48" s="3">
        <f t="shared" si="371"/>
        <v>5.9236561056684713E-2</v>
      </c>
      <c r="M48" s="3">
        <f t="shared" si="353"/>
        <v>3.3940049414170459</v>
      </c>
      <c r="N48" s="3">
        <f t="shared" si="372"/>
        <v>7.086690533365618E-2</v>
      </c>
      <c r="O48" s="3">
        <f t="shared" si="354"/>
        <v>4.060374582771642</v>
      </c>
      <c r="P48" s="3">
        <f t="shared" si="372"/>
        <v>8.2209495905305879E-2</v>
      </c>
      <c r="Q48" s="3">
        <f t="shared" si="354"/>
        <v>4.7102571512720495</v>
      </c>
      <c r="R48" s="3">
        <f t="shared" si="372"/>
        <v>9.3211981664540366E-2</v>
      </c>
      <c r="S48" s="3">
        <f t="shared" ref="S48" si="596">R48*180/PI()</f>
        <v>5.3406531494289773</v>
      </c>
      <c r="T48" s="3">
        <f t="shared" si="372"/>
        <v>0.10383546336883559</v>
      </c>
      <c r="U48" s="3">
        <f t="shared" ref="U48" si="597">T48*180/PI()</f>
        <v>5.94933381481954</v>
      </c>
      <c r="V48" s="3">
        <f t="shared" si="372"/>
        <v>0.11405277164010739</v>
      </c>
      <c r="W48" s="3">
        <f t="shared" ref="W48" si="598">V48*180/PI()</f>
        <v>6.5347424567475212</v>
      </c>
      <c r="X48" s="3">
        <f t="shared" si="372"/>
        <v>0.12384674398647551</v>
      </c>
      <c r="Y48" s="3">
        <f t="shared" ref="Y48" si="599">X48*180/PI()</f>
        <v>7.0958957368622553</v>
      </c>
      <c r="Z48" s="3">
        <f t="shared" si="372"/>
        <v>0.13320857925297078</v>
      </c>
      <c r="AA48" s="3">
        <f t="shared" ref="AA48" si="600">Z48*180/PI()</f>
        <v>7.6322893861291661</v>
      </c>
      <c r="AB48" s="3">
        <f t="shared" si="372"/>
        <v>0.14213632047616187</v>
      </c>
      <c r="AC48" s="3">
        <f t="shared" ref="AC48" si="601">AB48*180/PI()</f>
        <v>8.1438112788029784</v>
      </c>
      <c r="AD48" s="3">
        <f t="shared" si="372"/>
        <v>0.15063349486777805</v>
      </c>
      <c r="AE48" s="3">
        <f t="shared" ref="AE48:AG48" si="602">AD48*180/PI()</f>
        <v>8.6306635092292279</v>
      </c>
      <c r="AF48" s="3">
        <f t="shared" si="372"/>
        <v>0.19319716605518469</v>
      </c>
      <c r="AG48" s="3">
        <f t="shared" si="602"/>
        <v>11.069382228850216</v>
      </c>
      <c r="AH48" s="3">
        <f t="shared" si="372"/>
        <v>0.2392489458313484</v>
      </c>
      <c r="AI48" s="3">
        <f t="shared" ref="AI48" si="603">AH48*180/PI()</f>
        <v>13.707954849090314</v>
      </c>
      <c r="AJ48" s="3">
        <f t="shared" si="372"/>
        <v>0.26628189168692618</v>
      </c>
      <c r="AK48" s="3">
        <f t="shared" ref="AK48" si="604">AJ48*180/PI()</f>
        <v>15.25682855442059</v>
      </c>
      <c r="AL48" s="3">
        <f t="shared" si="578"/>
        <v>0.31025240806574117</v>
      </c>
      <c r="AM48" s="3">
        <f t="shared" ref="AM48" si="605">AL48*180/PI()</f>
        <v>17.776153565937548</v>
      </c>
      <c r="AN48" s="3">
        <f t="shared" si="383"/>
        <v>0.32744148126387962</v>
      </c>
      <c r="AO48" s="3">
        <f t="shared" ref="AO48" si="606">AN48*180/PI()</f>
        <v>18.761014913932325</v>
      </c>
    </row>
    <row r="49" spans="2:41" ht="15.6" customHeight="1" x14ac:dyDescent="0.4">
      <c r="B49" s="9">
        <v>88</v>
      </c>
      <c r="C49" s="10">
        <f t="shared" si="0"/>
        <v>1.5358897417550099</v>
      </c>
      <c r="D49" s="3">
        <f t="shared" si="1"/>
        <v>5.8560254176612415E-3</v>
      </c>
      <c r="E49" s="3">
        <f t="shared" ref="E49" si="607">D49*180/PI()</f>
        <v>0.33552554115332434</v>
      </c>
      <c r="F49" s="3">
        <f t="shared" si="367"/>
        <v>1.1865188866586327E-2</v>
      </c>
      <c r="G49" s="3">
        <f t="shared" ref="G49" si="608">F49*180/PI()</f>
        <v>0.6798252451810094</v>
      </c>
      <c r="H49" s="3">
        <f t="shared" si="369"/>
        <v>1.7925247244512305E-2</v>
      </c>
      <c r="I49" s="3">
        <f t="shared" si="351"/>
        <v>1.0270410138390633</v>
      </c>
      <c r="J49" s="3">
        <f t="shared" si="370"/>
        <v>2.3977676460974331E-2</v>
      </c>
      <c r="K49" s="3">
        <f t="shared" si="352"/>
        <v>1.3738196637440094</v>
      </c>
      <c r="L49" s="3">
        <f t="shared" si="371"/>
        <v>2.9972470496258345E-2</v>
      </c>
      <c r="M49" s="3">
        <f t="shared" si="353"/>
        <v>1.7172960610159833</v>
      </c>
      <c r="N49" s="3">
        <f t="shared" si="372"/>
        <v>3.5867965094127423E-2</v>
      </c>
      <c r="O49" s="3">
        <f t="shared" si="354"/>
        <v>2.0550830196160579</v>
      </c>
      <c r="P49" s="3">
        <f t="shared" si="372"/>
        <v>4.1630378231042854E-2</v>
      </c>
      <c r="Q49" s="3">
        <f t="shared" si="354"/>
        <v>2.3852449721720532</v>
      </c>
      <c r="R49" s="3">
        <f t="shared" si="372"/>
        <v>4.7233160048054945E-2</v>
      </c>
      <c r="S49" s="3">
        <f t="shared" ref="S49" si="609">R49*180/PI()</f>
        <v>2.7062607238194851</v>
      </c>
      <c r="T49" s="3">
        <f t="shared" si="372"/>
        <v>5.2656231944301468E-2</v>
      </c>
      <c r="U49" s="3">
        <f t="shared" ref="U49" si="610">T49*180/PI()</f>
        <v>3.016979855470419</v>
      </c>
      <c r="V49" s="3">
        <f t="shared" si="372"/>
        <v>5.7885179070288791E-2</v>
      </c>
      <c r="W49" s="3">
        <f t="shared" ref="W49" si="611">V49*180/PI()</f>
        <v>3.3165764570865539</v>
      </c>
      <c r="X49" s="3">
        <f t="shared" si="372"/>
        <v>6.2910444846543595E-2</v>
      </c>
      <c r="Y49" s="3">
        <f t="shared" ref="Y49" si="612">X49*180/PI()</f>
        <v>3.6045029769974879</v>
      </c>
      <c r="Z49" s="3">
        <f t="shared" si="372"/>
        <v>6.7726561866258056E-2</v>
      </c>
      <c r="AA49" s="3">
        <f t="shared" ref="AA49" si="613">Z49*180/PI()</f>
        <v>3.8804461558682508</v>
      </c>
      <c r="AB49" s="3">
        <f t="shared" si="372"/>
        <v>7.2331441418681378E-2</v>
      </c>
      <c r="AC49" s="3">
        <f t="shared" ref="AC49" si="614">AB49*180/PI()</f>
        <v>4.1442863193881987</v>
      </c>
      <c r="AD49" s="3">
        <f t="shared" si="372"/>
        <v>7.6725734171245633E-2</v>
      </c>
      <c r="AE49" s="3">
        <f t="shared" ref="AE49:AG49" si="615">AD49*180/PI()</f>
        <v>4.3960607480550555</v>
      </c>
      <c r="AF49" s="3">
        <f t="shared" si="372"/>
        <v>9.8924404957206141E-2</v>
      </c>
      <c r="AG49" s="3">
        <f t="shared" si="615"/>
        <v>5.6679508948909509</v>
      </c>
      <c r="AH49" s="3">
        <f t="shared" si="372"/>
        <v>0.12335031556863431</v>
      </c>
      <c r="AI49" s="3">
        <f t="shared" ref="AI49" si="616">AH49*180/PI()</f>
        <v>7.0674524836895971</v>
      </c>
      <c r="AJ49" s="3">
        <f t="shared" si="372"/>
        <v>0.13792024428528088</v>
      </c>
      <c r="AK49" s="3">
        <f t="shared" ref="AK49" si="617">AJ49*180/PI()</f>
        <v>7.9022479069599054</v>
      </c>
      <c r="AL49" s="3">
        <f t="shared" si="578"/>
        <v>0.16204246121452648</v>
      </c>
      <c r="AM49" s="3">
        <f t="shared" ref="AM49" si="618">AL49*180/PI()</f>
        <v>9.2843491295047027</v>
      </c>
      <c r="AN49" s="3">
        <f t="shared" si="383"/>
        <v>0.17163026143630525</v>
      </c>
      <c r="AO49" s="3">
        <f t="shared" ref="AO49" si="619">AN49*180/PI()</f>
        <v>9.8336896170272219</v>
      </c>
    </row>
    <row r="50" spans="2:41" ht="15.6" customHeight="1" x14ac:dyDescent="0.4">
      <c r="B50" s="9">
        <v>90</v>
      </c>
      <c r="C50" s="10">
        <f t="shared" si="0"/>
        <v>1.5707963267948966</v>
      </c>
      <c r="D50" s="3">
        <f t="shared" si="1"/>
        <v>1.0357535246812013E-17</v>
      </c>
      <c r="E50" s="3">
        <f t="shared" ref="E50" si="620">D50*180/PI()</f>
        <v>5.9344305580031988E-16</v>
      </c>
      <c r="F50" s="3">
        <f t="shared" si="367"/>
        <v>2.0926448763967115E-17</v>
      </c>
      <c r="G50" s="3">
        <f t="shared" ref="G50" si="621">F50*180/PI()</f>
        <v>1.1989971943720741E-15</v>
      </c>
      <c r="H50" s="3">
        <f t="shared" si="369"/>
        <v>3.159015074315949E-17</v>
      </c>
      <c r="I50" s="3">
        <f t="shared" si="351"/>
        <v>1.8099823117650998E-15</v>
      </c>
      <c r="J50" s="3">
        <f t="shared" si="370"/>
        <v>4.2246498445124819E-17</v>
      </c>
      <c r="K50" s="3">
        <f t="shared" si="352"/>
        <v>2.4205460601116465E-15</v>
      </c>
      <c r="L50" s="3">
        <f t="shared" si="371"/>
        <v>5.2808123056406037E-17</v>
      </c>
      <c r="M50" s="3">
        <f t="shared" si="353"/>
        <v>3.0256825751395592E-15</v>
      </c>
      <c r="N50" s="3">
        <f t="shared" si="372"/>
        <v>6.3202102832587566E-17</v>
      </c>
      <c r="O50" s="3">
        <f t="shared" si="354"/>
        <v>3.6212137486590931E-15</v>
      </c>
      <c r="P50" s="3">
        <f t="shared" si="372"/>
        <v>7.3369156520193021E-17</v>
      </c>
      <c r="Q50" s="3">
        <f t="shared" si="354"/>
        <v>4.2037430150418051E-15</v>
      </c>
      <c r="R50" s="3">
        <f t="shared" si="372"/>
        <v>8.3262516353013031E-17</v>
      </c>
      <c r="S50" s="3">
        <f t="shared" ref="S50" si="622">R50*180/PI()</f>
        <v>4.7705907786666459E-15</v>
      </c>
      <c r="T50" s="3">
        <f t="shared" si="372"/>
        <v>9.2846616356315278E-17</v>
      </c>
      <c r="U50" s="3">
        <f t="shared" ref="U50" si="623">T50*180/PI()</f>
        <v>5.3197192592871826E-15</v>
      </c>
      <c r="V50" s="3">
        <f t="shared" si="372"/>
        <v>1.0209570457571834E-16</v>
      </c>
      <c r="W50" s="3">
        <f t="shared" ref="W50" si="624">V50*180/PI()</f>
        <v>5.8496529786031476E-15</v>
      </c>
      <c r="X50" s="3">
        <f t="shared" si="372"/>
        <v>1.1099246097870337E-16</v>
      </c>
      <c r="Y50" s="3">
        <f t="shared" ref="Y50" si="625">X50*180/PI()</f>
        <v>6.3593995718501818E-15</v>
      </c>
      <c r="Z50" s="3">
        <f t="shared" si="372"/>
        <v>1.1952667852767028E-16</v>
      </c>
      <c r="AA50" s="3">
        <f t="shared" ref="AA50" si="626">Z50*180/PI()</f>
        <v>6.8483742188524674E-15</v>
      </c>
      <c r="AB50" s="3">
        <f t="shared" si="372"/>
        <v>1.2769404449849319E-16</v>
      </c>
      <c r="AC50" s="3">
        <f t="shared" ref="AC50" si="627">AB50*180/PI()</f>
        <v>7.3163298187193888E-15</v>
      </c>
      <c r="AD50" s="3">
        <f t="shared" si="372"/>
        <v>1.354950428755816E-16</v>
      </c>
      <c r="AE50" s="3">
        <f t="shared" ref="AE50:AG50" si="628">AD50*180/PI()</f>
        <v>7.7632941017149584E-15</v>
      </c>
      <c r="AF50" s="3">
        <f t="shared" si="372"/>
        <v>1.7502120784408857E-16</v>
      </c>
      <c r="AG50" s="3">
        <f t="shared" si="628"/>
        <v>1.0027976534748254E-14</v>
      </c>
      <c r="AH50" s="3">
        <f t="shared" si="372"/>
        <v>2.1877650980511074E-16</v>
      </c>
      <c r="AI50" s="3">
        <f t="shared" ref="AI50" si="629">AH50*180/PI()</f>
        <v>1.2534970668435317E-14</v>
      </c>
      <c r="AJ50" s="3">
        <f t="shared" si="372"/>
        <v>2.4502969098172405E-16</v>
      </c>
      <c r="AK50" s="3">
        <f t="shared" ref="AK50" si="630">AJ50*180/PI()</f>
        <v>1.4039167148647556E-14</v>
      </c>
      <c r="AL50" s="3">
        <f t="shared" si="578"/>
        <v>2.8878499294274623E-16</v>
      </c>
      <c r="AM50" s="3">
        <f t="shared" ref="AM50" si="631">AL50*180/PI()</f>
        <v>1.6546161282334624E-14</v>
      </c>
      <c r="AN50" s="3">
        <f t="shared" si="383"/>
        <v>3.062871135433828E-16</v>
      </c>
      <c r="AO50" s="3">
        <f t="shared" ref="AO50" si="632">AN50*180/PI()</f>
        <v>1.7548958925280073E-14</v>
      </c>
    </row>
  </sheetData>
  <mergeCells count="21">
    <mergeCell ref="AJ3:AK3"/>
    <mergeCell ref="AL3:AM3"/>
    <mergeCell ref="AN3:AO3"/>
    <mergeCell ref="D2:AO2"/>
    <mergeCell ref="Z3:AA3"/>
    <mergeCell ref="AB3:AC3"/>
    <mergeCell ref="AD3:AE3"/>
    <mergeCell ref="AF3:AG3"/>
    <mergeCell ref="AH3:AI3"/>
    <mergeCell ref="N3:O3"/>
    <mergeCell ref="P3:Q3"/>
    <mergeCell ref="R3:S3"/>
    <mergeCell ref="T3:U3"/>
    <mergeCell ref="V3:W3"/>
    <mergeCell ref="X3:Y3"/>
    <mergeCell ref="D3:E3"/>
    <mergeCell ref="B2:C3"/>
    <mergeCell ref="F3:G3"/>
    <mergeCell ref="H3:I3"/>
    <mergeCell ref="J3:K3"/>
    <mergeCell ref="L3:M3"/>
  </mergeCells>
  <pageMargins left="0.7" right="0.7" top="0.78740157499999996" bottom="0.78740157499999996" header="0.3" footer="0.3"/>
  <ignoredErrors>
    <ignoredError sqref="E6 E7:E30 F6:O30 E31:M50 P6:AE50 N31:O50 AF6:AO50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5A72-F308-4BD9-B417-7604850B60FE}">
  <dimension ref="B2:K62"/>
  <sheetViews>
    <sheetView zoomScale="70" zoomScaleNormal="70" workbookViewId="0">
      <selection activeCell="U33" sqref="U33"/>
    </sheetView>
  </sheetViews>
  <sheetFormatPr baseColWidth="10" defaultColWidth="11.5546875" defaultRowHeight="15.6" x14ac:dyDescent="0.4"/>
  <cols>
    <col min="1" max="1" width="2.6640625" style="1" customWidth="1"/>
    <col min="2" max="3" width="8.88671875" style="1" customWidth="1"/>
    <col min="4" max="11" width="13.88671875" style="1" customWidth="1"/>
    <col min="12" max="12" width="2.6640625" style="1" customWidth="1"/>
    <col min="13" max="16384" width="11.5546875" style="1"/>
  </cols>
  <sheetData>
    <row r="2" spans="2:11" x14ac:dyDescent="0.4">
      <c r="B2" s="34" t="s">
        <v>3</v>
      </c>
      <c r="C2" s="35"/>
      <c r="D2" s="29" t="s">
        <v>2</v>
      </c>
      <c r="E2" s="29"/>
      <c r="F2" s="29"/>
      <c r="G2" s="29"/>
      <c r="H2" s="29"/>
      <c r="I2" s="29"/>
      <c r="J2" s="29"/>
      <c r="K2" s="29"/>
    </row>
    <row r="3" spans="2:11" x14ac:dyDescent="0.4">
      <c r="B3" s="36"/>
      <c r="C3" s="37"/>
      <c r="D3" s="7">
        <v>0</v>
      </c>
      <c r="E3" s="7">
        <v>5</v>
      </c>
      <c r="F3" s="7">
        <v>10</v>
      </c>
      <c r="G3" s="7">
        <v>15</v>
      </c>
      <c r="H3" s="7">
        <v>20</v>
      </c>
      <c r="I3" s="7">
        <v>25</v>
      </c>
      <c r="J3" s="7">
        <v>30</v>
      </c>
      <c r="K3" s="7">
        <v>35</v>
      </c>
    </row>
    <row r="4" spans="2:11" x14ac:dyDescent="0.4">
      <c r="B4" s="6" t="s">
        <v>0</v>
      </c>
      <c r="C4" s="6" t="s">
        <v>1</v>
      </c>
      <c r="D4" s="8">
        <f>D3*PI()/180</f>
        <v>0</v>
      </c>
      <c r="E4" s="8">
        <f t="shared" ref="E4" si="0">E3*PI()/180</f>
        <v>8.7266462599716474E-2</v>
      </c>
      <c r="F4" s="8">
        <f t="shared" ref="F4" si="1">F3*PI()/180</f>
        <v>0.17453292519943295</v>
      </c>
      <c r="G4" s="8">
        <f t="shared" ref="G4" si="2">G3*PI()/180</f>
        <v>0.26179938779914941</v>
      </c>
      <c r="H4" s="8">
        <f t="shared" ref="H4" si="3">H3*PI()/180</f>
        <v>0.3490658503988659</v>
      </c>
      <c r="I4" s="8">
        <f t="shared" ref="I4" si="4">I3*PI()/180</f>
        <v>0.43633231299858238</v>
      </c>
      <c r="J4" s="8">
        <f t="shared" ref="J4" si="5">J3*PI()/180</f>
        <v>0.52359877559829882</v>
      </c>
      <c r="K4" s="8">
        <f t="shared" ref="K4" si="6">K3*PI()/180</f>
        <v>0.6108652381980153</v>
      </c>
    </row>
    <row r="5" spans="2:11" x14ac:dyDescent="0.4">
      <c r="B5" s="9">
        <v>10</v>
      </c>
      <c r="C5" s="9">
        <f>B5*PI()/180</f>
        <v>0.17453292519943295</v>
      </c>
      <c r="D5" s="5">
        <f>1/SIN($C5)</f>
        <v>5.7587704831436337</v>
      </c>
      <c r="E5" s="5">
        <f>0.295785*SQRT((11.4301*COS($C5)+SIN($C5))/(SIN($C5)*(-0.087489*(COS($C5))^2+SIN($C5)*COS($C5)-0.017498)))</f>
        <v>9.158205325850771</v>
      </c>
      <c r="F5" s="5"/>
      <c r="G5" s="5"/>
      <c r="H5" s="5"/>
      <c r="I5" s="5"/>
      <c r="J5" s="5"/>
      <c r="K5" s="5"/>
    </row>
    <row r="6" spans="2:11" x14ac:dyDescent="0.4">
      <c r="B6" s="9">
        <v>10.5</v>
      </c>
      <c r="C6" s="9">
        <f t="shared" ref="C6:C17" si="7">B6*PI()/180</f>
        <v>0.18325957145940461</v>
      </c>
      <c r="D6" s="5">
        <f t="shared" ref="D6:D17" si="8">1/SIN($C6)</f>
        <v>5.4874042659870401</v>
      </c>
      <c r="E6" s="5">
        <f t="shared" ref="E6:E17" si="9">0.295785*SQRT((11.4301*COS($C6)+SIN($C6))/(SIN($C6)*(-0.087489*(COS($C6))^2+SIN($C6)*COS($C6)-0.017498)))</f>
        <v>8.4328886732896677</v>
      </c>
      <c r="F6" s="5"/>
      <c r="G6" s="5"/>
      <c r="H6" s="5"/>
      <c r="I6" s="5"/>
      <c r="J6" s="5"/>
      <c r="K6" s="5"/>
    </row>
    <row r="7" spans="2:11" x14ac:dyDescent="0.4">
      <c r="B7" s="9">
        <v>11</v>
      </c>
      <c r="C7" s="9">
        <f t="shared" si="7"/>
        <v>0.19198621771937624</v>
      </c>
      <c r="D7" s="5">
        <f t="shared" si="8"/>
        <v>5.2408430641678487</v>
      </c>
      <c r="E7" s="5">
        <f t="shared" si="9"/>
        <v>7.8225735905099851</v>
      </c>
      <c r="F7" s="5"/>
      <c r="G7" s="5"/>
      <c r="H7" s="5"/>
      <c r="I7" s="5"/>
      <c r="J7" s="5"/>
      <c r="K7" s="5"/>
    </row>
    <row r="8" spans="2:11" x14ac:dyDescent="0.4">
      <c r="B8" s="9">
        <v>11.5</v>
      </c>
      <c r="C8" s="9">
        <f t="shared" si="7"/>
        <v>0.20071286397934787</v>
      </c>
      <c r="D8" s="5">
        <f t="shared" si="8"/>
        <v>5.0158517362546418</v>
      </c>
      <c r="E8" s="5">
        <f t="shared" si="9"/>
        <v>7.3007908237930348</v>
      </c>
      <c r="F8" s="5"/>
      <c r="G8" s="5"/>
      <c r="H8" s="5"/>
      <c r="I8" s="5"/>
      <c r="J8" s="5"/>
      <c r="K8" s="5"/>
    </row>
    <row r="9" spans="2:11" x14ac:dyDescent="0.4">
      <c r="B9" s="9">
        <v>12</v>
      </c>
      <c r="C9" s="9">
        <f t="shared" si="7"/>
        <v>0.20943951023931953</v>
      </c>
      <c r="D9" s="5">
        <f t="shared" si="8"/>
        <v>4.8097343447441316</v>
      </c>
      <c r="E9" s="5">
        <f t="shared" si="9"/>
        <v>6.8488494363037731</v>
      </c>
      <c r="F9" s="5"/>
      <c r="G9" s="5"/>
      <c r="H9" s="5"/>
      <c r="I9" s="5"/>
      <c r="J9" s="5"/>
      <c r="K9" s="5"/>
    </row>
    <row r="10" spans="2:11" x14ac:dyDescent="0.4">
      <c r="B10" s="9">
        <v>12.5</v>
      </c>
      <c r="C10" s="9">
        <f t="shared" si="7"/>
        <v>0.21816615649929119</v>
      </c>
      <c r="D10" s="5">
        <f t="shared" si="8"/>
        <v>4.6202263153452989</v>
      </c>
      <c r="E10" s="5">
        <f t="shared" si="9"/>
        <v>6.4531207129456503</v>
      </c>
      <c r="F10" s="5">
        <f t="shared" ref="F10:F17" si="10">0.419913*SQRT((5.67128*COS($C10)+SIN($C10))/(SIN($C10)*(-0.176327*(COS($C10))^2+SIN($C10)*COS($C10)-0.035265)))</f>
        <v>24.239255467464268</v>
      </c>
      <c r="G10" s="5"/>
      <c r="H10" s="5"/>
      <c r="I10" s="5"/>
      <c r="J10" s="5"/>
      <c r="K10" s="5"/>
    </row>
    <row r="11" spans="2:11" x14ac:dyDescent="0.4">
      <c r="B11" s="9">
        <v>13</v>
      </c>
      <c r="C11" s="9">
        <f t="shared" si="7"/>
        <v>0.22689280275926285</v>
      </c>
      <c r="D11" s="5">
        <f t="shared" si="8"/>
        <v>4.4454114825858007</v>
      </c>
      <c r="E11" s="5">
        <f t="shared" si="9"/>
        <v>6.1034004562400117</v>
      </c>
      <c r="F11" s="5">
        <f t="shared" si="10"/>
        <v>16.520632602064154</v>
      </c>
      <c r="G11" s="5"/>
      <c r="H11" s="5"/>
      <c r="I11" s="5"/>
      <c r="J11" s="5"/>
      <c r="K11" s="5"/>
    </row>
    <row r="12" spans="2:11" x14ac:dyDescent="0.4">
      <c r="B12" s="9">
        <v>13.5</v>
      </c>
      <c r="C12" s="9">
        <f t="shared" si="7"/>
        <v>0.23561944901923448</v>
      </c>
      <c r="D12" s="5">
        <f t="shared" si="8"/>
        <v>4.2836575697311856</v>
      </c>
      <c r="E12" s="5">
        <f t="shared" si="9"/>
        <v>5.7918767564470119</v>
      </c>
      <c r="F12" s="5">
        <f t="shared" si="10"/>
        <v>13.174908033750807</v>
      </c>
      <c r="G12" s="5"/>
      <c r="H12" s="5"/>
      <c r="I12" s="5"/>
      <c r="J12" s="5"/>
      <c r="K12" s="5"/>
    </row>
    <row r="13" spans="2:11" x14ac:dyDescent="0.4">
      <c r="B13" s="9">
        <v>14</v>
      </c>
      <c r="C13" s="9">
        <f t="shared" si="7"/>
        <v>0.24434609527920614</v>
      </c>
      <c r="D13" s="5">
        <f t="shared" si="8"/>
        <v>4.1335654944387494</v>
      </c>
      <c r="E13" s="5">
        <f t="shared" si="9"/>
        <v>5.5124548407327421</v>
      </c>
      <c r="F13" s="5">
        <f t="shared" si="10"/>
        <v>11.18590329846365</v>
      </c>
      <c r="G13" s="5"/>
      <c r="H13" s="5"/>
      <c r="I13" s="5"/>
      <c r="J13" s="5"/>
      <c r="K13" s="5"/>
    </row>
    <row r="14" spans="2:11" x14ac:dyDescent="0.4">
      <c r="B14" s="9">
        <v>14.5</v>
      </c>
      <c r="C14" s="9">
        <f t="shared" si="7"/>
        <v>0.2530727415391778</v>
      </c>
      <c r="D14" s="5">
        <f t="shared" si="8"/>
        <v>3.9939291628997848</v>
      </c>
      <c r="E14" s="5">
        <f t="shared" si="9"/>
        <v>5.2603013853299574</v>
      </c>
      <c r="F14" s="5">
        <f t="shared" si="10"/>
        <v>9.8269587676065129</v>
      </c>
      <c r="G14" s="5"/>
      <c r="H14" s="5"/>
      <c r="I14" s="5"/>
      <c r="J14" s="5"/>
      <c r="K14" s="5"/>
    </row>
    <row r="15" spans="2:11" x14ac:dyDescent="0.4">
      <c r="B15" s="9">
        <v>15</v>
      </c>
      <c r="C15" s="9">
        <f t="shared" si="7"/>
        <v>0.26179938779914941</v>
      </c>
      <c r="D15" s="5">
        <f t="shared" si="8"/>
        <v>3.8637033051562737</v>
      </c>
      <c r="E15" s="5">
        <f t="shared" si="9"/>
        <v>5.0315285399435314</v>
      </c>
      <c r="F15" s="5">
        <f t="shared" si="10"/>
        <v>8.8218813401527356</v>
      </c>
      <c r="G15" s="5"/>
      <c r="H15" s="5"/>
      <c r="I15" s="5"/>
      <c r="J15" s="5"/>
      <c r="K15" s="5"/>
    </row>
    <row r="16" spans="2:11" x14ac:dyDescent="0.4">
      <c r="B16" s="9">
        <v>15.5</v>
      </c>
      <c r="C16" s="9">
        <f t="shared" si="7"/>
        <v>0.27052603405912107</v>
      </c>
      <c r="D16" s="5">
        <f t="shared" si="8"/>
        <v>3.7419775358429983</v>
      </c>
      <c r="E16" s="5">
        <f t="shared" si="9"/>
        <v>4.8229696340979178</v>
      </c>
      <c r="F16" s="5">
        <f t="shared" si="10"/>
        <v>8.0393657670235559</v>
      </c>
      <c r="G16" s="5"/>
      <c r="H16" s="5"/>
      <c r="I16" s="5"/>
      <c r="J16" s="5"/>
      <c r="K16" s="5"/>
    </row>
    <row r="17" spans="2:11" x14ac:dyDescent="0.4">
      <c r="B17" s="9">
        <v>16</v>
      </c>
      <c r="C17" s="9">
        <f t="shared" si="7"/>
        <v>0.27925268031909273</v>
      </c>
      <c r="D17" s="5">
        <f t="shared" si="8"/>
        <v>3.6279552785433005</v>
      </c>
      <c r="E17" s="5">
        <f t="shared" si="9"/>
        <v>4.6320166590199952</v>
      </c>
      <c r="F17" s="5">
        <f t="shared" si="10"/>
        <v>7.4078180813606478</v>
      </c>
      <c r="G17" s="5"/>
      <c r="H17" s="5"/>
      <c r="I17" s="5"/>
      <c r="J17" s="5"/>
      <c r="K17" s="5"/>
    </row>
    <row r="18" spans="2:11" x14ac:dyDescent="0.4">
      <c r="B18" s="9">
        <v>17</v>
      </c>
      <c r="C18" s="9">
        <f t="shared" ref="C18:C61" si="11">B18*PI()/180</f>
        <v>0.29670597283903605</v>
      </c>
      <c r="D18" s="5">
        <f t="shared" ref="D18:D61" si="12">1/SIN($C18)</f>
        <v>3.4203036198332684</v>
      </c>
      <c r="E18" s="5">
        <f t="shared" ref="E18:E58" si="13">0.295785*SQRT((11.4301*COS($C18)+SIN($C18))/(SIN($C18)*(-0.087489*(COS($C18))^2+SIN($C18)*COS($C18)-0.017498)))</f>
        <v>4.2946002817638984</v>
      </c>
      <c r="F18" s="5">
        <f t="shared" ref="F18:F56" si="14">0.419913*SQRT((5.67128*COS($C18)+SIN($C18))/(SIN($C18)*(-0.176327*(COS($C18))^2+SIN($C18)*COS($C18)-0.035265)))</f>
        <v>6.4415616235855122</v>
      </c>
      <c r="G18" s="5"/>
      <c r="H18" s="5"/>
      <c r="I18" s="5"/>
      <c r="J18" s="5"/>
      <c r="K18" s="5"/>
    </row>
    <row r="19" spans="2:11" x14ac:dyDescent="0.4">
      <c r="B19" s="9">
        <v>18</v>
      </c>
      <c r="C19" s="9">
        <f t="shared" si="11"/>
        <v>0.31415926535897931</v>
      </c>
      <c r="D19" s="5">
        <f t="shared" si="12"/>
        <v>3.2360679774997898</v>
      </c>
      <c r="E19" s="5">
        <f t="shared" si="13"/>
        <v>4.0057164362501867</v>
      </c>
      <c r="F19" s="5">
        <f t="shared" si="14"/>
        <v>5.7291275028381881</v>
      </c>
      <c r="G19" s="5"/>
      <c r="H19" s="5"/>
      <c r="I19" s="5"/>
      <c r="J19" s="5"/>
      <c r="K19" s="5"/>
    </row>
    <row r="20" spans="2:11" x14ac:dyDescent="0.4">
      <c r="B20" s="9">
        <v>20</v>
      </c>
      <c r="C20" s="9">
        <f t="shared" si="11"/>
        <v>0.3490658503988659</v>
      </c>
      <c r="D20" s="5">
        <f t="shared" si="12"/>
        <v>2.9238044001630876</v>
      </c>
      <c r="E20" s="5">
        <f t="shared" si="13"/>
        <v>3.5367613613854618</v>
      </c>
      <c r="F20" s="5">
        <f t="shared" si="14"/>
        <v>4.7346553076766096</v>
      </c>
      <c r="G20" s="5">
        <f t="shared" ref="G20:G54" si="15">0.517638*SQRT((3.73205*COS($C20)+SIN($C20))/(SIN($C20)*(-0.267949*(COS($C20))^2+SIN($C20)*COS($C20)-0.05359)))</f>
        <v>9.8311593671925159</v>
      </c>
      <c r="H20" s="5"/>
      <c r="I20" s="5"/>
      <c r="J20" s="5"/>
      <c r="K20" s="5"/>
    </row>
    <row r="21" spans="2:11" x14ac:dyDescent="0.4">
      <c r="B21" s="9">
        <v>22</v>
      </c>
      <c r="C21" s="9">
        <f t="shared" si="11"/>
        <v>0.38397243543875248</v>
      </c>
      <c r="D21" s="5">
        <f t="shared" si="12"/>
        <v>2.6694671625540143</v>
      </c>
      <c r="E21" s="5">
        <f t="shared" si="13"/>
        <v>3.1724414405602719</v>
      </c>
      <c r="F21" s="5">
        <f t="shared" si="14"/>
        <v>4.0646821145913883</v>
      </c>
      <c r="G21" s="5">
        <f t="shared" si="15"/>
        <v>6.5780950068793871</v>
      </c>
      <c r="H21" s="5"/>
      <c r="I21" s="5"/>
      <c r="J21" s="5"/>
      <c r="K21" s="5"/>
    </row>
    <row r="22" spans="2:11" x14ac:dyDescent="0.4">
      <c r="B22" s="9">
        <v>24</v>
      </c>
      <c r="C22" s="9">
        <f t="shared" si="11"/>
        <v>0.41887902047863906</v>
      </c>
      <c r="D22" s="5">
        <f t="shared" si="12"/>
        <v>2.4585933355742386</v>
      </c>
      <c r="E22" s="5">
        <f t="shared" si="13"/>
        <v>2.8814331535021172</v>
      </c>
      <c r="F22" s="5">
        <f t="shared" si="14"/>
        <v>3.5786169115837394</v>
      </c>
      <c r="G22" s="5">
        <f t="shared" si="15"/>
        <v>5.1615952729531269</v>
      </c>
      <c r="H22" s="5"/>
      <c r="I22" s="5"/>
      <c r="J22" s="5"/>
      <c r="K22" s="5"/>
    </row>
    <row r="23" spans="2:11" x14ac:dyDescent="0.4">
      <c r="B23" s="9">
        <v>26</v>
      </c>
      <c r="C23" s="9">
        <f t="shared" si="11"/>
        <v>0.4537856055185257</v>
      </c>
      <c r="D23" s="5">
        <f t="shared" si="12"/>
        <v>2.2811720327048595</v>
      </c>
      <c r="E23" s="5">
        <f t="shared" si="13"/>
        <v>2.643888248688715</v>
      </c>
      <c r="F23" s="5">
        <f t="shared" si="14"/>
        <v>3.2084680611427348</v>
      </c>
      <c r="G23" s="5">
        <f t="shared" si="15"/>
        <v>4.3245719662566975</v>
      </c>
      <c r="H23" s="5">
        <f t="shared" ref="H23:H52" si="16">0.603299*SQRT((2.74748*COS($C23)+SIN($C23))/(SIN($C23)*(-0.36397*(COS($C23))^2+SIN($C23)*COS($C23)-0.072794)))</f>
        <v>9.4238134064198267</v>
      </c>
      <c r="I23" s="5"/>
      <c r="J23" s="5"/>
      <c r="K23" s="5"/>
    </row>
    <row r="24" spans="2:11" x14ac:dyDescent="0.4">
      <c r="B24" s="9">
        <v>28</v>
      </c>
      <c r="C24" s="9">
        <f t="shared" si="11"/>
        <v>0.48869219055841229</v>
      </c>
      <c r="D24" s="5">
        <f t="shared" si="12"/>
        <v>2.1300544681895124</v>
      </c>
      <c r="E24" s="5">
        <f t="shared" si="13"/>
        <v>2.4465934543088963</v>
      </c>
      <c r="F24" s="5">
        <f t="shared" si="14"/>
        <v>2.916779482436954</v>
      </c>
      <c r="G24" s="5">
        <f t="shared" si="15"/>
        <v>3.7593356451891826</v>
      </c>
      <c r="H24" s="5">
        <f t="shared" si="16"/>
        <v>6.2224017989068505</v>
      </c>
      <c r="I24" s="5"/>
      <c r="J24" s="5"/>
      <c r="K24" s="5"/>
    </row>
    <row r="25" spans="2:11" x14ac:dyDescent="0.4">
      <c r="B25" s="9">
        <v>30</v>
      </c>
      <c r="C25" s="9">
        <f t="shared" si="11"/>
        <v>0.52359877559829882</v>
      </c>
      <c r="D25" s="5">
        <f t="shared" si="12"/>
        <v>2</v>
      </c>
      <c r="E25" s="5">
        <f t="shared" si="13"/>
        <v>2.2804006591039485</v>
      </c>
      <c r="F25" s="5">
        <f t="shared" si="14"/>
        <v>2.6810059624604055</v>
      </c>
      <c r="G25" s="5">
        <f t="shared" si="15"/>
        <v>3.3476749216056345</v>
      </c>
      <c r="H25" s="5">
        <f t="shared" si="16"/>
        <v>4.9015883933724629</v>
      </c>
      <c r="I25" s="5"/>
      <c r="J25" s="5"/>
      <c r="K25" s="5"/>
    </row>
    <row r="26" spans="2:11" x14ac:dyDescent="0.4">
      <c r="B26" s="9">
        <v>32</v>
      </c>
      <c r="C26" s="9">
        <f t="shared" si="11"/>
        <v>0.55850536063818546</v>
      </c>
      <c r="D26" s="5">
        <f t="shared" si="12"/>
        <v>1.8870799147998585</v>
      </c>
      <c r="E26" s="5">
        <f t="shared" si="13"/>
        <v>2.1387707563697442</v>
      </c>
      <c r="F26" s="5">
        <f t="shared" si="14"/>
        <v>2.4866756820887872</v>
      </c>
      <c r="G26" s="5">
        <f t="shared" si="15"/>
        <v>3.0329428937700902</v>
      </c>
      <c r="H26" s="5">
        <f t="shared" si="16"/>
        <v>4.1357634908500396</v>
      </c>
      <c r="I26" s="5">
        <f t="shared" ref="I26:I52" si="17">0.682867*SQRT((2.14451*COS($C26)+SIN($C26))/(SIN($C26)*(-0.466308*(COS($C26))^2+SIN($C26)*COS($C26)-0.093262)))</f>
        <v>9.9743072763160967</v>
      </c>
      <c r="J26" s="5"/>
      <c r="K26" s="5"/>
    </row>
    <row r="27" spans="2:11" x14ac:dyDescent="0.4">
      <c r="B27" s="9">
        <v>34</v>
      </c>
      <c r="C27" s="9">
        <f t="shared" si="11"/>
        <v>0.59341194567807209</v>
      </c>
      <c r="D27" s="5">
        <f t="shared" si="12"/>
        <v>1.7882916499714003</v>
      </c>
      <c r="E27" s="5">
        <f t="shared" si="13"/>
        <v>2.0169042191666926</v>
      </c>
      <c r="F27" s="5">
        <f t="shared" si="14"/>
        <v>2.324033969400761</v>
      </c>
      <c r="G27" s="5">
        <f t="shared" si="15"/>
        <v>2.7840822535821181</v>
      </c>
      <c r="H27" s="5">
        <f t="shared" si="16"/>
        <v>3.623460285234803</v>
      </c>
      <c r="I27" s="5">
        <f t="shared" si="17"/>
        <v>6.2535203652366516</v>
      </c>
      <c r="J27" s="5"/>
      <c r="K27" s="5"/>
    </row>
    <row r="28" spans="2:11" x14ac:dyDescent="0.4">
      <c r="B28" s="9">
        <v>36</v>
      </c>
      <c r="C28" s="9">
        <f t="shared" si="11"/>
        <v>0.62831853071795862</v>
      </c>
      <c r="D28" s="5">
        <f t="shared" si="12"/>
        <v>1.7013016167040798</v>
      </c>
      <c r="E28" s="5">
        <f t="shared" si="13"/>
        <v>1.9111991763056482</v>
      </c>
      <c r="F28" s="5">
        <f t="shared" si="14"/>
        <v>2.1862489947306636</v>
      </c>
      <c r="G28" s="5">
        <f t="shared" si="15"/>
        <v>2.5824400688209619</v>
      </c>
      <c r="H28" s="5">
        <f t="shared" si="16"/>
        <v>3.2525093423381799</v>
      </c>
      <c r="I28" s="5">
        <f t="shared" si="17"/>
        <v>4.8899139690980764</v>
      </c>
      <c r="J28" s="5"/>
      <c r="K28" s="5"/>
    </row>
    <row r="29" spans="2:11" x14ac:dyDescent="0.4">
      <c r="B29" s="9">
        <v>38</v>
      </c>
      <c r="C29" s="9">
        <f t="shared" si="11"/>
        <v>0.66322511575784515</v>
      </c>
      <c r="D29" s="5">
        <f t="shared" si="12"/>
        <v>1.6242692454827443</v>
      </c>
      <c r="E29" s="5">
        <f t="shared" si="13"/>
        <v>1.8189012435111094</v>
      </c>
      <c r="F29" s="5">
        <f t="shared" si="14"/>
        <v>2.0683869373191941</v>
      </c>
      <c r="G29" s="5">
        <f t="shared" si="15"/>
        <v>2.4160516695143919</v>
      </c>
      <c r="H29" s="5">
        <f t="shared" si="16"/>
        <v>2.9701808609664817</v>
      </c>
      <c r="I29" s="5">
        <f t="shared" si="17"/>
        <v>4.131031375139969</v>
      </c>
      <c r="J29" s="5">
        <f t="shared" ref="J29:J51" si="18">0.759836*SQRT((1.73205*COS($C29)+SIN($C29))/(SIN($C29)*(-0.57735*(COS($C29))^2+SIN($C29)*COS($C29)-0.11547)))</f>
        <v>12.897045002945397</v>
      </c>
      <c r="K29" s="5"/>
    </row>
    <row r="30" spans="2:11" x14ac:dyDescent="0.4">
      <c r="B30" s="9">
        <v>40</v>
      </c>
      <c r="C30" s="9">
        <f t="shared" si="11"/>
        <v>0.69813170079773179</v>
      </c>
      <c r="D30" s="5">
        <f t="shared" si="12"/>
        <v>1.5557238268604126</v>
      </c>
      <c r="E30" s="5">
        <f t="shared" si="13"/>
        <v>1.7378702530505226</v>
      </c>
      <c r="F30" s="5">
        <f t="shared" si="14"/>
        <v>1.9667949753781928</v>
      </c>
      <c r="G30" s="5">
        <f t="shared" si="15"/>
        <v>2.2768535513509334</v>
      </c>
      <c r="H30" s="5">
        <f t="shared" si="16"/>
        <v>2.7479427797822678</v>
      </c>
      <c r="I30" s="5">
        <f t="shared" si="17"/>
        <v>3.6347670171920008</v>
      </c>
      <c r="J30" s="5">
        <f t="shared" si="18"/>
        <v>6.8114212973560084</v>
      </c>
      <c r="K30" s="5"/>
    </row>
    <row r="31" spans="2:11" x14ac:dyDescent="0.4">
      <c r="B31" s="9">
        <v>42</v>
      </c>
      <c r="C31" s="9">
        <f t="shared" si="11"/>
        <v>0.73303828583761843</v>
      </c>
      <c r="D31" s="5">
        <f t="shared" si="12"/>
        <v>1.4944765498646086</v>
      </c>
      <c r="E31" s="5">
        <f t="shared" si="13"/>
        <v>1.6664207633701456</v>
      </c>
      <c r="F31" s="5">
        <f t="shared" si="14"/>
        <v>1.8787135610123187</v>
      </c>
      <c r="G31" s="5">
        <f t="shared" si="15"/>
        <v>2.1592005632462099</v>
      </c>
      <c r="H31" s="5">
        <f t="shared" si="16"/>
        <v>2.5688287201164535</v>
      </c>
      <c r="I31" s="5">
        <f t="shared" si="17"/>
        <v>3.2811423510556903</v>
      </c>
      <c r="J31" s="5">
        <f t="shared" si="18"/>
        <v>5.1786201822462221</v>
      </c>
      <c r="K31" s="5"/>
    </row>
    <row r="32" spans="2:11" x14ac:dyDescent="0.4">
      <c r="B32" s="9">
        <v>44</v>
      </c>
      <c r="C32" s="9">
        <f t="shared" si="11"/>
        <v>0.76794487087750496</v>
      </c>
      <c r="D32" s="5">
        <f t="shared" si="12"/>
        <v>1.4395565396257264</v>
      </c>
      <c r="E32" s="5">
        <f t="shared" si="13"/>
        <v>1.6032105723769321</v>
      </c>
      <c r="F32" s="5">
        <f t="shared" si="14"/>
        <v>1.8020240658957574</v>
      </c>
      <c r="G32" s="5">
        <f t="shared" si="15"/>
        <v>2.0590221533839994</v>
      </c>
      <c r="H32" s="5">
        <f t="shared" si="16"/>
        <v>2.4220482269331547</v>
      </c>
      <c r="I32" s="5">
        <f t="shared" si="17"/>
        <v>3.0156590391566089</v>
      </c>
      <c r="J32" s="5">
        <f t="shared" si="18"/>
        <v>4.3438981212150791</v>
      </c>
      <c r="K32" s="5"/>
    </row>
    <row r="33" spans="2:11" x14ac:dyDescent="0.4">
      <c r="B33" s="9">
        <v>46</v>
      </c>
      <c r="C33" s="9">
        <f t="shared" si="11"/>
        <v>0.80285145591739149</v>
      </c>
      <c r="D33" s="5">
        <f t="shared" si="12"/>
        <v>1.390163591016679</v>
      </c>
      <c r="E33" s="5">
        <f t="shared" si="13"/>
        <v>1.54716132803647</v>
      </c>
      <c r="F33" s="5">
        <f t="shared" si="14"/>
        <v>1.7350797548474557</v>
      </c>
      <c r="G33" s="5">
        <f t="shared" si="15"/>
        <v>1.9733161525585019</v>
      </c>
      <c r="H33" s="5">
        <f t="shared" si="16"/>
        <v>2.3003912938681101</v>
      </c>
      <c r="I33" s="5">
        <f t="shared" si="17"/>
        <v>2.8095243001456307</v>
      </c>
      <c r="J33" s="5">
        <f t="shared" si="18"/>
        <v>3.8221274100068467</v>
      </c>
      <c r="K33" s="5">
        <f t="shared" ref="K33:K50" si="19">0.836784*SQRT((1.42815*COS($C33)+SIN($C33))/(SIN($C33)*(-0.700208*(COS($C33))^2+SIN($C33)*COS($C33)-0.140042)))</f>
        <v>8.748149557558234</v>
      </c>
    </row>
    <row r="34" spans="2:11" x14ac:dyDescent="0.4">
      <c r="B34" s="9">
        <v>48</v>
      </c>
      <c r="C34" s="9">
        <f t="shared" si="11"/>
        <v>0.83775804095727813</v>
      </c>
      <c r="D34" s="5">
        <f t="shared" si="12"/>
        <v>1.3456327296063764</v>
      </c>
      <c r="E34" s="5">
        <f t="shared" si="13"/>
        <v>1.4974011533513998</v>
      </c>
      <c r="F34" s="5">
        <f t="shared" si="14"/>
        <v>1.6765899786677967</v>
      </c>
      <c r="G34" s="5">
        <f t="shared" si="15"/>
        <v>1.8998321003480483</v>
      </c>
      <c r="H34" s="5">
        <f t="shared" si="16"/>
        <v>2.1988621798809893</v>
      </c>
      <c r="I34" s="5">
        <f t="shared" si="17"/>
        <v>2.6459437779081796</v>
      </c>
      <c r="J34" s="5">
        <f t="shared" si="18"/>
        <v>3.4620718237275314</v>
      </c>
      <c r="K34" s="5">
        <f t="shared" si="19"/>
        <v>6.0513022083367982</v>
      </c>
    </row>
    <row r="35" spans="2:11" x14ac:dyDescent="0.4">
      <c r="B35" s="9">
        <v>50</v>
      </c>
      <c r="C35" s="9">
        <f t="shared" si="11"/>
        <v>0.87266462599716477</v>
      </c>
      <c r="D35" s="5">
        <f t="shared" si="12"/>
        <v>1.3054072893322786</v>
      </c>
      <c r="E35" s="5">
        <f t="shared" si="13"/>
        <v>1.453222753815067</v>
      </c>
      <c r="F35" s="5">
        <f t="shared" si="14"/>
        <v>1.6255395474684169</v>
      </c>
      <c r="G35" s="5">
        <f t="shared" si="15"/>
        <v>1.8368667087825592</v>
      </c>
      <c r="H35" s="5">
        <f t="shared" si="16"/>
        <v>2.1139102515531656</v>
      </c>
      <c r="I35" s="5">
        <f t="shared" si="17"/>
        <v>2.5144309060401286</v>
      </c>
      <c r="J35" s="5">
        <f t="shared" si="18"/>
        <v>3.1992888429665518</v>
      </c>
      <c r="K35" s="5">
        <f t="shared" si="19"/>
        <v>4.9409516695049991</v>
      </c>
    </row>
    <row r="36" spans="2:11" x14ac:dyDescent="0.4">
      <c r="B36" s="9">
        <v>52</v>
      </c>
      <c r="C36" s="9">
        <f t="shared" si="11"/>
        <v>0.90757121103705141</v>
      </c>
      <c r="D36" s="5">
        <f t="shared" si="12"/>
        <v>1.2690182150725788</v>
      </c>
      <c r="E36" s="5">
        <f t="shared" si="13"/>
        <v>1.4140527118408941</v>
      </c>
      <c r="F36" s="5">
        <f t="shared" si="14"/>
        <v>1.5811321905288844</v>
      </c>
      <c r="G36" s="5">
        <f t="shared" si="15"/>
        <v>1.7831288863217802</v>
      </c>
      <c r="H36" s="5">
        <f t="shared" si="16"/>
        <v>2.0429745661545518</v>
      </c>
      <c r="I36" s="5">
        <f t="shared" si="17"/>
        <v>2.4081253363439146</v>
      </c>
      <c r="J36" s="5">
        <f t="shared" si="18"/>
        <v>3.0011927055510532</v>
      </c>
      <c r="K36" s="5">
        <f t="shared" si="19"/>
        <v>4.3114331433501274</v>
      </c>
    </row>
    <row r="37" spans="2:11" x14ac:dyDescent="0.4">
      <c r="B37" s="9">
        <v>54</v>
      </c>
      <c r="C37" s="9">
        <f t="shared" si="11"/>
        <v>0.94247779607693793</v>
      </c>
      <c r="D37" s="5">
        <f t="shared" si="12"/>
        <v>1.2360679774997896</v>
      </c>
      <c r="E37" s="5">
        <f t="shared" si="13"/>
        <v>1.3794291323395729</v>
      </c>
      <c r="F37" s="5">
        <f t="shared" si="14"/>
        <v>1.5427511868606945</v>
      </c>
      <c r="G37" s="5">
        <f t="shared" si="15"/>
        <v>1.7376500180789423</v>
      </c>
      <c r="H37" s="5">
        <f t="shared" si="16"/>
        <v>1.9842048046616032</v>
      </c>
      <c r="I37" s="5">
        <f t="shared" si="17"/>
        <v>2.3224100944488608</v>
      </c>
      <c r="J37" s="5">
        <f t="shared" si="18"/>
        <v>2.8494662829963162</v>
      </c>
      <c r="K37" s="5">
        <f t="shared" si="19"/>
        <v>3.9048555117585058</v>
      </c>
    </row>
    <row r="38" spans="2:11" x14ac:dyDescent="0.4">
      <c r="B38" s="9">
        <v>56</v>
      </c>
      <c r="C38" s="9">
        <f t="shared" si="11"/>
        <v>0.97738438111682457</v>
      </c>
      <c r="D38" s="5">
        <f t="shared" si="12"/>
        <v>1.2062179485039053</v>
      </c>
      <c r="E38" s="5">
        <f t="shared" si="13"/>
        <v>1.3489858023245154</v>
      </c>
      <c r="F38" s="5">
        <f t="shared" si="14"/>
        <v>1.5099329009401654</v>
      </c>
      <c r="G38" s="5">
        <f t="shared" si="15"/>
        <v>1.6997253731166744</v>
      </c>
      <c r="H38" s="5">
        <f t="shared" si="16"/>
        <v>1.9362878958544774</v>
      </c>
      <c r="I38" s="5">
        <f t="shared" si="17"/>
        <v>2.2541525382946657</v>
      </c>
      <c r="J38" s="5">
        <f t="shared" si="18"/>
        <v>2.7331174760389811</v>
      </c>
      <c r="K38" s="5">
        <f t="shared" si="19"/>
        <v>3.6253222002571763</v>
      </c>
    </row>
    <row r="39" spans="2:11" x14ac:dyDescent="0.4">
      <c r="B39" s="9">
        <v>58</v>
      </c>
      <c r="C39" s="9">
        <f t="shared" si="11"/>
        <v>1.0122909661567112</v>
      </c>
      <c r="D39" s="5">
        <f t="shared" si="12"/>
        <v>1.1791784033620965</v>
      </c>
      <c r="E39" s="5">
        <f t="shared" si="13"/>
        <v>1.3224417627267262</v>
      </c>
      <c r="F39" s="5">
        <f t="shared" si="14"/>
        <v>1.4823507742980944</v>
      </c>
      <c r="G39" s="5">
        <f t="shared" si="15"/>
        <v>1.6688785877830765</v>
      </c>
      <c r="H39" s="5">
        <f t="shared" si="16"/>
        <v>1.8983427523353453</v>
      </c>
      <c r="I39" s="5">
        <f t="shared" si="17"/>
        <v>2.2012736682670937</v>
      </c>
      <c r="J39" s="5">
        <f t="shared" si="18"/>
        <v>2.6453427613917979</v>
      </c>
      <c r="K39" s="5">
        <f t="shared" si="19"/>
        <v>3.4285273538580054</v>
      </c>
    </row>
    <row r="40" spans="2:11" x14ac:dyDescent="0.4">
      <c r="B40" s="9">
        <v>60</v>
      </c>
      <c r="C40" s="9">
        <f t="shared" si="11"/>
        <v>1.0471975511965976</v>
      </c>
      <c r="D40" s="5">
        <f t="shared" si="12"/>
        <v>1.1547005383792517</v>
      </c>
      <c r="E40" s="5">
        <f t="shared" si="13"/>
        <v>1.2995958010973374</v>
      </c>
      <c r="F40" s="5">
        <f t="shared" si="14"/>
        <v>1.4598087367159203</v>
      </c>
      <c r="G40" s="5">
        <f t="shared" si="15"/>
        <v>1.6448452114453034</v>
      </c>
      <c r="H40" s="5">
        <f t="shared" si="16"/>
        <v>1.8698634536195982</v>
      </c>
      <c r="I40" s="5">
        <f t="shared" si="17"/>
        <v>2.1625074068309824</v>
      </c>
      <c r="J40" s="5">
        <f t="shared" si="18"/>
        <v>2.5819887618027759</v>
      </c>
      <c r="K40" s="5">
        <f t="shared" si="19"/>
        <v>3.2915393311012617</v>
      </c>
    </row>
    <row r="41" spans="2:11" x14ac:dyDescent="0.4">
      <c r="B41" s="9">
        <v>62</v>
      </c>
      <c r="C41" s="9">
        <f t="shared" si="11"/>
        <v>1.0821041362364843</v>
      </c>
      <c r="D41" s="5">
        <f t="shared" si="12"/>
        <v>1.1325700506890393</v>
      </c>
      <c r="E41" s="5">
        <f t="shared" si="13"/>
        <v>1.2803259793232173</v>
      </c>
      <c r="F41" s="5">
        <f t="shared" si="14"/>
        <v>1.4422443363103601</v>
      </c>
      <c r="G41" s="5">
        <f t="shared" si="15"/>
        <v>1.6275745075648791</v>
      </c>
      <c r="H41" s="5">
        <f t="shared" si="16"/>
        <v>1.8507022835685696</v>
      </c>
      <c r="I41" s="5">
        <f t="shared" si="17"/>
        <v>2.1372844203638888</v>
      </c>
      <c r="J41" s="5">
        <f t="shared" si="18"/>
        <v>2.5407827575456312</v>
      </c>
      <c r="K41" s="5">
        <f t="shared" si="19"/>
        <v>3.2020766565224537</v>
      </c>
    </row>
    <row r="42" spans="2:11" x14ac:dyDescent="0.4">
      <c r="B42" s="9">
        <v>64</v>
      </c>
      <c r="C42" s="9">
        <f t="shared" si="11"/>
        <v>1.1170107212763709</v>
      </c>
      <c r="D42" s="5">
        <f t="shared" si="12"/>
        <v>1.1126019404751888</v>
      </c>
      <c r="E42" s="5">
        <f t="shared" si="13"/>
        <v>1.2645950496058349</v>
      </c>
      <c r="F42" s="5">
        <f t="shared" si="14"/>
        <v>1.4297434834160005</v>
      </c>
      <c r="G42" s="5">
        <f t="shared" si="15"/>
        <v>1.6172520094326548</v>
      </c>
      <c r="H42" s="5">
        <f t="shared" si="16"/>
        <v>1.8410926568454207</v>
      </c>
      <c r="I42" s="5">
        <f t="shared" si="17"/>
        <v>2.1257147129542817</v>
      </c>
      <c r="J42" s="5">
        <f t="shared" si="18"/>
        <v>2.5209972732118446</v>
      </c>
      <c r="K42" s="5">
        <f t="shared" si="19"/>
        <v>3.1541784675172209</v>
      </c>
    </row>
    <row r="43" spans="2:11" x14ac:dyDescent="0.4">
      <c r="B43" s="9">
        <v>66</v>
      </c>
      <c r="C43" s="9">
        <f t="shared" si="11"/>
        <v>1.1519173063162575</v>
      </c>
      <c r="D43" s="5">
        <f t="shared" si="12"/>
        <v>1.0946362785060468</v>
      </c>
      <c r="E43" s="5">
        <f t="shared" si="13"/>
        <v>1.2524636962773597</v>
      </c>
      <c r="F43" s="5">
        <f t="shared" si="14"/>
        <v>1.4225710476978215</v>
      </c>
      <c r="G43" s="5">
        <f t="shared" si="15"/>
        <v>1.6143498126567608</v>
      </c>
      <c r="H43" s="5">
        <f t="shared" si="16"/>
        <v>1.8417213958109833</v>
      </c>
      <c r="I43" s="5">
        <f t="shared" si="17"/>
        <v>2.1286719989175324</v>
      </c>
      <c r="J43" s="5">
        <f t="shared" si="18"/>
        <v>2.5234289568323902</v>
      </c>
      <c r="K43" s="5">
        <f t="shared" si="19"/>
        <v>3.1465484426069574</v>
      </c>
    </row>
    <row r="44" spans="2:11" x14ac:dyDescent="0.4">
      <c r="B44" s="9">
        <v>68</v>
      </c>
      <c r="C44" s="9">
        <f t="shared" si="11"/>
        <v>1.1868238913561442</v>
      </c>
      <c r="D44" s="5">
        <f t="shared" si="12"/>
        <v>1.0785347426775833</v>
      </c>
      <c r="E44" s="5">
        <f t="shared" si="13"/>
        <v>1.2441153573299459</v>
      </c>
      <c r="F44" s="5">
        <f t="shared" si="14"/>
        <v>1.4212255303936565</v>
      </c>
      <c r="G44" s="5">
        <f t="shared" si="15"/>
        <v>1.6197190417218039</v>
      </c>
      <c r="H44" s="5">
        <f t="shared" si="16"/>
        <v>1.8538740709278041</v>
      </c>
      <c r="I44" s="5">
        <f t="shared" si="17"/>
        <v>2.1480154573315544</v>
      </c>
      <c r="J44" s="5">
        <f t="shared" si="18"/>
        <v>2.5507052433863078</v>
      </c>
      <c r="K44" s="5">
        <f t="shared" si="19"/>
        <v>3.1824655679786535</v>
      </c>
    </row>
    <row r="45" spans="2:11" x14ac:dyDescent="0.4">
      <c r="B45" s="9">
        <v>70</v>
      </c>
      <c r="C45" s="9">
        <f t="shared" si="11"/>
        <v>1.2217304763960306</v>
      </c>
      <c r="D45" s="5">
        <f t="shared" si="12"/>
        <v>1.0641777724759123</v>
      </c>
      <c r="E45" s="5">
        <f t="shared" si="13"/>
        <v>1.2398997170792008</v>
      </c>
      <c r="F45" s="5">
        <f t="shared" si="14"/>
        <v>1.426533497296417</v>
      </c>
      <c r="G45" s="5">
        <f t="shared" si="15"/>
        <v>1.6347530622907376</v>
      </c>
      <c r="H45" s="5">
        <f t="shared" si="16"/>
        <v>1.8797038340544308</v>
      </c>
      <c r="I45" s="5">
        <f t="shared" si="17"/>
        <v>2.1870399477530369</v>
      </c>
      <c r="J45" s="5">
        <f t="shared" si="18"/>
        <v>2.6080850370140976</v>
      </c>
      <c r="K45" s="5">
        <f t="shared" si="19"/>
        <v>3.2712971917301483</v>
      </c>
    </row>
    <row r="46" spans="2:11" x14ac:dyDescent="0.4">
      <c r="B46" s="9">
        <v>72</v>
      </c>
      <c r="C46" s="9">
        <f t="shared" si="11"/>
        <v>1.2566370614359172</v>
      </c>
      <c r="D46" s="5">
        <f t="shared" si="12"/>
        <v>1.0514622242382672</v>
      </c>
      <c r="E46" s="5">
        <f t="shared" si="13"/>
        <v>1.2404085652742438</v>
      </c>
      <c r="F46" s="5">
        <f t="shared" si="14"/>
        <v>1.4398145846594184</v>
      </c>
      <c r="G46" s="5">
        <f t="shared" si="15"/>
        <v>1.6616794698121784</v>
      </c>
      <c r="H46" s="5">
        <f t="shared" si="16"/>
        <v>1.922731446484051</v>
      </c>
      <c r="I46" s="5">
        <f t="shared" si="17"/>
        <v>2.2513662434037678</v>
      </c>
      <c r="J46" s="5">
        <f t="shared" si="18"/>
        <v>2.7052250375964713</v>
      </c>
      <c r="K46" s="5">
        <f t="shared" si="19"/>
        <v>3.4329106570436028</v>
      </c>
    </row>
    <row r="47" spans="2:11" x14ac:dyDescent="0.4">
      <c r="B47" s="9">
        <v>74</v>
      </c>
      <c r="C47" s="9">
        <f t="shared" si="11"/>
        <v>1.2915436464758039</v>
      </c>
      <c r="D47" s="5">
        <f t="shared" si="12"/>
        <v>1.040299435861602</v>
      </c>
      <c r="E47" s="5">
        <f t="shared" si="13"/>
        <v>1.2466117527413925</v>
      </c>
      <c r="F47" s="5">
        <f t="shared" si="14"/>
        <v>1.4631809958590758</v>
      </c>
      <c r="G47" s="5">
        <f t="shared" si="15"/>
        <v>1.7041059364363074</v>
      </c>
      <c r="H47" s="5">
        <f t="shared" si="16"/>
        <v>1.9888210520848815</v>
      </c>
      <c r="I47" s="5">
        <f t="shared" si="17"/>
        <v>2.3507883095376538</v>
      </c>
      <c r="J47" s="5">
        <f t="shared" si="18"/>
        <v>2.8602096520288152</v>
      </c>
      <c r="K47" s="5">
        <f t="shared" si="19"/>
        <v>3.7096436402890993</v>
      </c>
    </row>
    <row r="48" spans="2:11" x14ac:dyDescent="0.4">
      <c r="B48" s="9">
        <v>76</v>
      </c>
      <c r="C48" s="9">
        <f t="shared" si="11"/>
        <v>1.3264502315156903</v>
      </c>
      <c r="D48" s="5">
        <f t="shared" si="12"/>
        <v>1.0306136293498982</v>
      </c>
      <c r="E48" s="5">
        <f t="shared" si="13"/>
        <v>1.2601132631565772</v>
      </c>
      <c r="F48" s="5">
        <f t="shared" si="14"/>
        <v>1.5001144622044018</v>
      </c>
      <c r="G48" s="5">
        <f t="shared" si="15"/>
        <v>1.7681135192250395</v>
      </c>
      <c r="H48" s="5">
        <f t="shared" si="16"/>
        <v>2.0882437246507752</v>
      </c>
      <c r="I48" s="5">
        <f t="shared" si="17"/>
        <v>2.5034913140665287</v>
      </c>
      <c r="J48" s="5">
        <f t="shared" si="18"/>
        <v>3.1099050822289231</v>
      </c>
      <c r="K48" s="5">
        <f t="shared" si="19"/>
        <v>4.2045051697243947</v>
      </c>
    </row>
    <row r="49" spans="2:11" x14ac:dyDescent="0.4">
      <c r="B49" s="9">
        <v>78</v>
      </c>
      <c r="C49" s="9">
        <f t="shared" si="11"/>
        <v>1.3613568165555769</v>
      </c>
      <c r="D49" s="5">
        <f t="shared" si="12"/>
        <v>1.0223405948650293</v>
      </c>
      <c r="E49" s="5">
        <f t="shared" si="13"/>
        <v>1.2836691498294084</v>
      </c>
      <c r="F49" s="5">
        <f t="shared" si="14"/>
        <v>1.5566737974052236</v>
      </c>
      <c r="G49" s="5">
        <f t="shared" si="15"/>
        <v>1.8646703474324478</v>
      </c>
      <c r="H49" s="5">
        <f t="shared" si="16"/>
        <v>2.2405839327540482</v>
      </c>
      <c r="I49" s="5">
        <f t="shared" si="17"/>
        <v>2.7472172188869384</v>
      </c>
      <c r="J49" s="5">
        <f t="shared" si="18"/>
        <v>3.5425914720401246</v>
      </c>
      <c r="K49" s="5">
        <f t="shared" si="19"/>
        <v>5.2545975055533818</v>
      </c>
    </row>
    <row r="50" spans="2:11" x14ac:dyDescent="0.4">
      <c r="B50" s="9">
        <v>80</v>
      </c>
      <c r="C50" s="9">
        <f t="shared" si="11"/>
        <v>1.3962634015954636</v>
      </c>
      <c r="D50" s="5">
        <f t="shared" si="12"/>
        <v>1.0154266118857451</v>
      </c>
      <c r="E50" s="5">
        <f t="shared" si="13"/>
        <v>1.3223426178674578</v>
      </c>
      <c r="F50" s="5">
        <f t="shared" si="14"/>
        <v>1.6443285443908338</v>
      </c>
      <c r="G50" s="5">
        <f t="shared" si="15"/>
        <v>2.0157471135494949</v>
      </c>
      <c r="H50" s="5">
        <f t="shared" si="16"/>
        <v>2.4886034684349694</v>
      </c>
      <c r="I50" s="5">
        <f t="shared" si="17"/>
        <v>3.1765525502941405</v>
      </c>
      <c r="J50" s="5">
        <f t="shared" si="18"/>
        <v>4.4458486976706828</v>
      </c>
      <c r="K50" s="5">
        <f t="shared" si="19"/>
        <v>9.4313419063844854</v>
      </c>
    </row>
    <row r="51" spans="2:11" x14ac:dyDescent="0.4">
      <c r="B51" s="9">
        <v>82</v>
      </c>
      <c r="C51" s="9">
        <f t="shared" si="11"/>
        <v>1.43116998663535</v>
      </c>
      <c r="D51" s="5">
        <f t="shared" si="12"/>
        <v>1.0098275725186181</v>
      </c>
      <c r="E51" s="5">
        <f t="shared" si="13"/>
        <v>1.3864564129298322</v>
      </c>
      <c r="F51" s="5">
        <f t="shared" si="14"/>
        <v>1.7877964637949031</v>
      </c>
      <c r="G51" s="5">
        <f t="shared" si="15"/>
        <v>2.2733727622927762</v>
      </c>
      <c r="H51" s="5">
        <f t="shared" si="16"/>
        <v>2.9499531578315237</v>
      </c>
      <c r="I51" s="5">
        <f t="shared" si="17"/>
        <v>4.1330906481718852</v>
      </c>
      <c r="J51" s="5">
        <f t="shared" si="18"/>
        <v>8.0183058478575688</v>
      </c>
      <c r="K51" s="5"/>
    </row>
    <row r="52" spans="2:11" x14ac:dyDescent="0.4">
      <c r="B52" s="9">
        <v>84</v>
      </c>
      <c r="C52" s="9">
        <f t="shared" si="11"/>
        <v>1.4660765716752369</v>
      </c>
      <c r="D52" s="5">
        <f t="shared" si="12"/>
        <v>1.0055082795635164</v>
      </c>
      <c r="E52" s="5">
        <f t="shared" si="13"/>
        <v>1.5008349785419117</v>
      </c>
      <c r="F52" s="5">
        <f t="shared" si="14"/>
        <v>2.053118506422317</v>
      </c>
      <c r="G52" s="5">
        <f t="shared" si="15"/>
        <v>2.8042802535276388</v>
      </c>
      <c r="H52" s="5">
        <f t="shared" si="16"/>
        <v>4.1538963408227598</v>
      </c>
      <c r="I52" s="5">
        <f t="shared" si="17"/>
        <v>10.102394224147952</v>
      </c>
      <c r="J52" s="5"/>
      <c r="K52" s="5"/>
    </row>
    <row r="53" spans="2:11" customFormat="1" x14ac:dyDescent="0.4">
      <c r="B53" s="9">
        <v>86</v>
      </c>
      <c r="C53" s="9">
        <f t="shared" si="11"/>
        <v>1.5009831567151233</v>
      </c>
      <c r="D53" s="5">
        <f t="shared" si="12"/>
        <v>1.0024418980811722</v>
      </c>
      <c r="E53" s="5">
        <f t="shared" si="13"/>
        <v>1.7455619458954932</v>
      </c>
      <c r="F53" s="5">
        <f t="shared" si="14"/>
        <v>2.712722547730638</v>
      </c>
      <c r="G53" s="5">
        <f t="shared" si="15"/>
        <v>4.7954292773010581</v>
      </c>
      <c r="H53" s="5"/>
      <c r="I53" s="5"/>
      <c r="J53" s="5"/>
      <c r="K53" s="5"/>
    </row>
    <row r="54" spans="2:11" customFormat="1" x14ac:dyDescent="0.4">
      <c r="B54" s="9">
        <v>86.5</v>
      </c>
      <c r="C54" s="9">
        <f t="shared" si="11"/>
        <v>1.509709802975095</v>
      </c>
      <c r="D54" s="5">
        <f t="shared" si="12"/>
        <v>1.0018686870561793</v>
      </c>
      <c r="E54" s="5">
        <f t="shared" si="13"/>
        <v>1.8569187078940772</v>
      </c>
      <c r="F54" s="5">
        <f t="shared" si="14"/>
        <v>3.0813678010687426</v>
      </c>
      <c r="G54" s="5">
        <f t="shared" si="15"/>
        <v>7.2014514907823406</v>
      </c>
      <c r="H54" s="5"/>
      <c r="I54" s="5"/>
      <c r="J54" s="5"/>
      <c r="K54" s="5"/>
    </row>
    <row r="55" spans="2:11" customFormat="1" x14ac:dyDescent="0.4">
      <c r="B55" s="9">
        <v>87</v>
      </c>
      <c r="C55" s="9">
        <f t="shared" si="11"/>
        <v>1.5184364492350666</v>
      </c>
      <c r="D55" s="5">
        <f t="shared" si="12"/>
        <v>1.0013723459979209</v>
      </c>
      <c r="E55" s="5">
        <f t="shared" si="13"/>
        <v>2.0129225120165803</v>
      </c>
      <c r="F55" s="5">
        <f t="shared" si="14"/>
        <v>3.7214321973940159</v>
      </c>
      <c r="G55" s="5"/>
      <c r="H55" s="5"/>
      <c r="I55" s="5"/>
      <c r="J55" s="5"/>
      <c r="K55" s="5"/>
    </row>
    <row r="56" spans="2:11" customFormat="1" x14ac:dyDescent="0.4">
      <c r="B56" s="9">
        <v>87.5</v>
      </c>
      <c r="C56" s="9">
        <f t="shared" si="11"/>
        <v>1.5271630954950381</v>
      </c>
      <c r="D56" s="5">
        <f t="shared" si="12"/>
        <v>1.0009526851633199</v>
      </c>
      <c r="E56" s="5">
        <f t="shared" si="13"/>
        <v>2.2496852778867527</v>
      </c>
      <c r="F56" s="5">
        <f t="shared" si="14"/>
        <v>5.2513278046169622</v>
      </c>
      <c r="G56" s="5"/>
      <c r="H56" s="5"/>
      <c r="I56" s="5"/>
      <c r="J56" s="5"/>
      <c r="K56" s="5"/>
    </row>
    <row r="57" spans="2:11" customFormat="1" x14ac:dyDescent="0.4">
      <c r="B57" s="9">
        <v>88</v>
      </c>
      <c r="C57" s="9">
        <f t="shared" si="11"/>
        <v>1.5358897417550099</v>
      </c>
      <c r="D57" s="5">
        <f t="shared" si="12"/>
        <v>1.0006095442988217</v>
      </c>
      <c r="E57" s="5">
        <f t="shared" si="13"/>
        <v>2.6620459856759919</v>
      </c>
      <c r="F57" s="5"/>
      <c r="G57" s="5"/>
      <c r="H57" s="5"/>
      <c r="I57" s="5"/>
      <c r="J57" s="5"/>
      <c r="K57" s="5"/>
    </row>
    <row r="58" spans="2:11" customFormat="1" x14ac:dyDescent="0.4">
      <c r="B58" s="9">
        <v>88.5</v>
      </c>
      <c r="C58" s="9">
        <f t="shared" si="11"/>
        <v>1.5446163880149817</v>
      </c>
      <c r="D58" s="5">
        <f t="shared" si="12"/>
        <v>1.0003427924908679</v>
      </c>
      <c r="E58" s="5">
        <f t="shared" si="13"/>
        <v>3.6335394146072026</v>
      </c>
      <c r="F58" s="5"/>
      <c r="G58" s="5"/>
      <c r="H58" s="5"/>
      <c r="I58" s="5"/>
      <c r="J58" s="5"/>
      <c r="K58" s="5"/>
    </row>
    <row r="59" spans="2:11" customFormat="1" x14ac:dyDescent="0.4">
      <c r="B59" s="9">
        <v>89</v>
      </c>
      <c r="C59" s="9">
        <f t="shared" si="11"/>
        <v>1.5533430342749535</v>
      </c>
      <c r="D59" s="5">
        <f t="shared" si="12"/>
        <v>1.0001523280439077</v>
      </c>
      <c r="E59" s="5"/>
      <c r="F59" s="5"/>
      <c r="G59" s="5"/>
      <c r="H59" s="5"/>
      <c r="I59" s="5"/>
      <c r="J59" s="5"/>
      <c r="K59" s="5"/>
    </row>
    <row r="60" spans="2:11" customFormat="1" x14ac:dyDescent="0.4">
      <c r="B60" s="9">
        <v>89.5</v>
      </c>
      <c r="C60" s="9">
        <f t="shared" si="11"/>
        <v>1.562069680534925</v>
      </c>
      <c r="D60" s="5">
        <f t="shared" si="12"/>
        <v>1.000038078385737</v>
      </c>
      <c r="E60" s="5"/>
      <c r="F60" s="5"/>
      <c r="G60" s="5"/>
      <c r="H60" s="5"/>
      <c r="I60" s="5"/>
      <c r="J60" s="5"/>
      <c r="K60" s="5"/>
    </row>
    <row r="61" spans="2:11" customFormat="1" x14ac:dyDescent="0.4">
      <c r="B61" s="9">
        <v>90</v>
      </c>
      <c r="C61" s="9">
        <f t="shared" si="11"/>
        <v>1.5707963267948966</v>
      </c>
      <c r="D61" s="5">
        <f t="shared" si="12"/>
        <v>1</v>
      </c>
      <c r="E61" s="5"/>
      <c r="F61" s="5"/>
      <c r="G61" s="5"/>
      <c r="H61" s="5"/>
      <c r="I61" s="5"/>
      <c r="J61" s="5"/>
      <c r="K61" s="5"/>
    </row>
    <row r="62" spans="2:11" customFormat="1" ht="14.4" x14ac:dyDescent="0.3"/>
  </sheetData>
  <mergeCells count="2">
    <mergeCell ref="B2:C3"/>
    <mergeCell ref="D2:K2"/>
  </mergeCells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D479-4888-4085-B5E0-2E4B7F918E18}">
  <dimension ref="B2:AC74"/>
  <sheetViews>
    <sheetView tabSelected="1" zoomScale="85" zoomScaleNormal="85" workbookViewId="0">
      <selection activeCell="AC2" sqref="AC2"/>
    </sheetView>
  </sheetViews>
  <sheetFormatPr baseColWidth="10" defaultColWidth="11.5546875" defaultRowHeight="15.6" x14ac:dyDescent="0.4"/>
  <cols>
    <col min="1" max="1" width="2.6640625" style="1" customWidth="1"/>
    <col min="2" max="2" width="13.88671875" style="19" customWidth="1"/>
    <col min="3" max="3" width="13.88671875" style="1" customWidth="1"/>
    <col min="4" max="4" width="13.88671875" style="24" customWidth="1"/>
    <col min="5" max="5" width="13.88671875" style="1" customWidth="1"/>
    <col min="6" max="6" width="13.88671875" style="24" customWidth="1"/>
    <col min="7" max="7" width="13.88671875" style="1" customWidth="1"/>
    <col min="8" max="8" width="13.88671875" style="24" customWidth="1"/>
    <col min="9" max="9" width="13.88671875" style="1" customWidth="1"/>
    <col min="10" max="10" width="13.88671875" style="24" customWidth="1"/>
    <col min="11" max="11" width="13.88671875" style="1" customWidth="1"/>
    <col min="12" max="12" width="13.88671875" style="24" customWidth="1"/>
    <col min="13" max="13" width="13.88671875" style="1" customWidth="1"/>
    <col min="14" max="14" width="13.88671875" style="24" customWidth="1"/>
    <col min="15" max="15" width="13.88671875" style="1" customWidth="1"/>
    <col min="16" max="16" width="13.88671875" style="24" customWidth="1"/>
    <col min="17" max="17" width="13.88671875" style="1" customWidth="1"/>
    <col min="18" max="18" width="2.6640625" style="1" customWidth="1"/>
    <col min="19" max="16384" width="11.5546875" style="1"/>
  </cols>
  <sheetData>
    <row r="2" spans="2:29" ht="15.6" customHeight="1" x14ac:dyDescent="0.4">
      <c r="B2" s="43" t="s">
        <v>2</v>
      </c>
      <c r="C2" s="6" t="s">
        <v>12</v>
      </c>
      <c r="D2" s="40" t="s">
        <v>2</v>
      </c>
      <c r="E2" s="6" t="s">
        <v>12</v>
      </c>
      <c r="F2" s="40" t="s">
        <v>2</v>
      </c>
      <c r="G2" s="6" t="s">
        <v>12</v>
      </c>
      <c r="H2" s="40" t="s">
        <v>2</v>
      </c>
      <c r="I2" s="6" t="s">
        <v>12</v>
      </c>
      <c r="J2" s="40" t="s">
        <v>2</v>
      </c>
      <c r="K2" s="6" t="s">
        <v>12</v>
      </c>
      <c r="L2" s="40" t="s">
        <v>2</v>
      </c>
      <c r="M2" s="6" t="s">
        <v>12</v>
      </c>
      <c r="N2" s="40" t="s">
        <v>2</v>
      </c>
      <c r="O2" s="6" t="s">
        <v>12</v>
      </c>
      <c r="P2" s="40" t="s">
        <v>2</v>
      </c>
      <c r="Q2" s="6" t="s">
        <v>12</v>
      </c>
    </row>
    <row r="3" spans="2:29" x14ac:dyDescent="0.4">
      <c r="B3" s="44"/>
      <c r="C3" s="7">
        <v>0</v>
      </c>
      <c r="D3" s="41"/>
      <c r="E3" s="38">
        <v>5</v>
      </c>
      <c r="F3" s="41"/>
      <c r="G3" s="38">
        <v>10</v>
      </c>
      <c r="H3" s="41"/>
      <c r="I3" s="38">
        <v>15</v>
      </c>
      <c r="J3" s="41"/>
      <c r="K3" s="38">
        <v>20</v>
      </c>
      <c r="L3" s="41"/>
      <c r="M3" s="38">
        <v>25</v>
      </c>
      <c r="N3" s="41"/>
      <c r="O3" s="38">
        <v>30</v>
      </c>
      <c r="P3" s="41"/>
      <c r="Q3" s="38">
        <v>35</v>
      </c>
      <c r="AC3"/>
    </row>
    <row r="4" spans="2:29" x14ac:dyDescent="0.4">
      <c r="B4" s="44"/>
      <c r="C4" s="8">
        <f>C3*PI()/180</f>
        <v>0</v>
      </c>
      <c r="D4" s="41"/>
      <c r="E4" s="39"/>
      <c r="F4" s="41"/>
      <c r="G4" s="39"/>
      <c r="H4" s="41"/>
      <c r="I4" s="39"/>
      <c r="J4" s="41"/>
      <c r="K4" s="39"/>
      <c r="L4" s="41"/>
      <c r="M4" s="39"/>
      <c r="N4" s="41"/>
      <c r="O4" s="39"/>
      <c r="P4" s="41"/>
      <c r="Q4" s="39"/>
    </row>
    <row r="5" spans="2:29" x14ac:dyDescent="0.4">
      <c r="B5" s="45"/>
      <c r="C5" s="14">
        <f>PI()/2</f>
        <v>1.5707963267948966</v>
      </c>
      <c r="D5" s="42"/>
      <c r="E5" s="15">
        <v>1.5</v>
      </c>
      <c r="F5" s="42"/>
      <c r="G5" s="15">
        <v>1.46</v>
      </c>
      <c r="H5" s="42"/>
      <c r="I5" s="15">
        <v>1.42</v>
      </c>
      <c r="J5" s="42"/>
      <c r="K5" s="23">
        <v>1.39</v>
      </c>
      <c r="L5" s="42"/>
      <c r="M5" s="23">
        <v>1.36</v>
      </c>
      <c r="N5" s="42"/>
      <c r="O5" s="23">
        <v>1.32</v>
      </c>
      <c r="P5" s="42"/>
      <c r="Q5" s="23">
        <v>1.26</v>
      </c>
    </row>
    <row r="6" spans="2:29" x14ac:dyDescent="0.4">
      <c r="B6" s="21">
        <v>1</v>
      </c>
      <c r="C6" s="18">
        <f>((((1.4+1)/2)^(1.4+1)*($B6*SIN(C$5))^(2*1.4))/((1+((1.4-1)/2)*($B6*SIN(C$5))^2)^1.4*(1.4*($B6*SIN(C$5))^2-((1.4-1)/2))))^((1)/(1.4-1))</f>
        <v>1</v>
      </c>
      <c r="D6" s="10"/>
      <c r="E6" s="5"/>
      <c r="F6" s="10"/>
      <c r="G6" s="5"/>
      <c r="H6" s="10"/>
      <c r="I6" s="5"/>
      <c r="J6" s="10"/>
      <c r="K6" s="5"/>
      <c r="L6" s="10"/>
      <c r="M6" s="5"/>
      <c r="N6" s="10"/>
      <c r="O6" s="5"/>
      <c r="P6" s="10"/>
      <c r="Q6" s="5"/>
    </row>
    <row r="7" spans="2:29" x14ac:dyDescent="0.4">
      <c r="B7" s="20">
        <v>1.05</v>
      </c>
      <c r="C7" s="5">
        <f t="shared" ref="C7:C56" si="0">((((1.4+1)/2)^(1.4+1)*($B7*SIN(C$5))^(2*1.4))/((1+((1.4-1)/2)*($B7*SIN(C$5))^2)^1.4*(1.4*($B7*SIN(C$5))^2-((1.4-1)/2))))^((1)/(1.4-1))</f>
        <v>0.99985299009517314</v>
      </c>
      <c r="D7" s="10"/>
      <c r="E7" s="5"/>
      <c r="F7" s="10"/>
      <c r="G7" s="5"/>
      <c r="H7" s="10"/>
      <c r="I7" s="5"/>
      <c r="J7" s="10"/>
      <c r="K7" s="5"/>
      <c r="L7" s="10"/>
      <c r="M7" s="5"/>
      <c r="N7" s="10"/>
      <c r="O7" s="5"/>
      <c r="P7" s="10"/>
      <c r="Q7" s="5"/>
    </row>
    <row r="8" spans="2:29" x14ac:dyDescent="0.4">
      <c r="B8" s="20">
        <v>1.1000000000000001</v>
      </c>
      <c r="C8" s="5">
        <f t="shared" si="0"/>
        <v>0.99892801531447117</v>
      </c>
      <c r="D8" s="10">
        <v>3.5</v>
      </c>
      <c r="E8" s="5">
        <v>0.99199999999999999</v>
      </c>
      <c r="F8" s="10">
        <v>3.5</v>
      </c>
      <c r="G8" s="5">
        <v>0.94699999999999995</v>
      </c>
      <c r="H8" s="10"/>
      <c r="I8" s="5"/>
      <c r="J8" s="10"/>
      <c r="K8" s="5"/>
      <c r="L8" s="10"/>
      <c r="M8" s="5"/>
      <c r="N8" s="10"/>
      <c r="O8" s="5"/>
      <c r="P8" s="10"/>
      <c r="Q8" s="5"/>
    </row>
    <row r="9" spans="2:29" x14ac:dyDescent="0.4">
      <c r="B9" s="20">
        <v>1.1499999999999999</v>
      </c>
      <c r="C9" s="5">
        <f t="shared" si="0"/>
        <v>0.99668975878988608</v>
      </c>
      <c r="D9" s="10">
        <v>3.5</v>
      </c>
      <c r="E9" s="5">
        <v>0.99199999999999999</v>
      </c>
      <c r="F9" s="10">
        <v>3</v>
      </c>
      <c r="G9" s="5">
        <v>0.96299999999999997</v>
      </c>
      <c r="H9" s="10">
        <v>3.5</v>
      </c>
      <c r="I9" s="5">
        <v>0.85299999999999998</v>
      </c>
      <c r="J9" s="10"/>
      <c r="K9" s="5"/>
      <c r="L9" s="10"/>
      <c r="M9" s="5"/>
      <c r="N9" s="10"/>
      <c r="O9" s="5"/>
      <c r="P9" s="10"/>
      <c r="Q9" s="5"/>
    </row>
    <row r="10" spans="2:29" x14ac:dyDescent="0.4">
      <c r="B10" s="20">
        <v>1.2</v>
      </c>
      <c r="C10" s="5">
        <f t="shared" si="0"/>
        <v>0.99279839769936207</v>
      </c>
      <c r="D10" s="10">
        <v>3</v>
      </c>
      <c r="E10" s="5">
        <v>0.99480000000000002</v>
      </c>
      <c r="F10" s="10">
        <v>2.5</v>
      </c>
      <c r="G10" s="5">
        <v>0.97599999999999998</v>
      </c>
      <c r="H10" s="10">
        <v>3</v>
      </c>
      <c r="I10" s="5">
        <v>0.89549999999999996</v>
      </c>
      <c r="J10" s="10"/>
      <c r="K10" s="5"/>
      <c r="L10" s="10"/>
      <c r="M10" s="5"/>
      <c r="N10" s="10"/>
      <c r="O10" s="5"/>
      <c r="P10" s="10"/>
      <c r="Q10" s="5"/>
    </row>
    <row r="11" spans="2:29" x14ac:dyDescent="0.4">
      <c r="B11" s="20">
        <v>1.25</v>
      </c>
      <c r="C11" s="5">
        <f t="shared" si="0"/>
        <v>0.98705677037193806</v>
      </c>
      <c r="D11" s="10">
        <v>2.5</v>
      </c>
      <c r="E11" s="5">
        <v>0.997</v>
      </c>
      <c r="F11" s="10">
        <v>2</v>
      </c>
      <c r="G11" s="5">
        <v>0.98509999999999998</v>
      </c>
      <c r="H11" s="10">
        <v>2.5</v>
      </c>
      <c r="I11" s="5">
        <v>0.92900000000000005</v>
      </c>
      <c r="J11" s="10">
        <v>3.5</v>
      </c>
      <c r="K11" s="5">
        <v>0.72799999999999998</v>
      </c>
      <c r="L11" s="10"/>
      <c r="M11" s="5"/>
      <c r="N11" s="10"/>
      <c r="O11" s="5"/>
      <c r="P11" s="10"/>
      <c r="Q11" s="5"/>
    </row>
    <row r="12" spans="2:29" x14ac:dyDescent="0.4">
      <c r="B12" s="20">
        <v>1.3</v>
      </c>
      <c r="C12" s="5">
        <f t="shared" si="0"/>
        <v>0.97937364894321854</v>
      </c>
      <c r="D12" s="10">
        <v>2</v>
      </c>
      <c r="E12" s="5">
        <v>0.99860000000000004</v>
      </c>
      <c r="F12" s="10">
        <v>1.8</v>
      </c>
      <c r="G12" s="5">
        <v>0.98719999999999997</v>
      </c>
      <c r="H12" s="10">
        <v>2.25</v>
      </c>
      <c r="I12" s="5">
        <v>0.9425</v>
      </c>
      <c r="J12" s="10">
        <v>3</v>
      </c>
      <c r="K12" s="5">
        <v>0.79700000000000004</v>
      </c>
      <c r="L12" s="10"/>
      <c r="M12" s="5"/>
      <c r="N12" s="10"/>
      <c r="O12" s="5"/>
      <c r="P12" s="10"/>
      <c r="Q12" s="5"/>
      <c r="AB12"/>
      <c r="AC12"/>
    </row>
    <row r="13" spans="2:29" x14ac:dyDescent="0.4">
      <c r="B13" s="20">
        <v>1.35</v>
      </c>
      <c r="C13" s="5">
        <f t="shared" si="0"/>
        <v>0.96973709318744861</v>
      </c>
      <c r="D13" s="10">
        <v>1.8</v>
      </c>
      <c r="E13" s="5">
        <v>0.999</v>
      </c>
      <c r="F13" s="10">
        <v>1.6</v>
      </c>
      <c r="G13" s="5">
        <v>0.98839999999999995</v>
      </c>
      <c r="H13" s="10">
        <v>2</v>
      </c>
      <c r="I13" s="5">
        <v>0.95299999999999996</v>
      </c>
      <c r="J13" s="10">
        <v>2.5</v>
      </c>
      <c r="K13" s="5">
        <v>0.85499999999999998</v>
      </c>
      <c r="L13" s="10">
        <v>3.5</v>
      </c>
      <c r="M13" s="5">
        <v>0.59150000000000003</v>
      </c>
      <c r="N13" s="10"/>
      <c r="O13" s="5"/>
      <c r="P13" s="10"/>
      <c r="Q13" s="5"/>
    </row>
    <row r="14" spans="2:29" x14ac:dyDescent="0.4">
      <c r="B14" s="20">
        <v>1.4</v>
      </c>
      <c r="C14" s="5">
        <f t="shared" si="0"/>
        <v>0.95819441491554602</v>
      </c>
      <c r="D14" s="10">
        <v>1.6</v>
      </c>
      <c r="E14" s="5">
        <v>0.99909999999999999</v>
      </c>
      <c r="F14" s="10">
        <v>1.47</v>
      </c>
      <c r="G14" s="5">
        <v>0.98670000000000002</v>
      </c>
      <c r="H14" s="10">
        <v>1.8</v>
      </c>
      <c r="I14" s="5">
        <v>0.95730000000000004</v>
      </c>
      <c r="J14" s="10">
        <v>2.2999999999999998</v>
      </c>
      <c r="K14" s="5">
        <v>0.874</v>
      </c>
      <c r="L14" s="10">
        <v>3.1</v>
      </c>
      <c r="M14" s="5">
        <v>0.66149999999999998</v>
      </c>
      <c r="N14" s="10"/>
      <c r="O14" s="5"/>
      <c r="P14" s="10"/>
      <c r="Q14" s="5"/>
    </row>
    <row r="15" spans="2:29" x14ac:dyDescent="0.4">
      <c r="B15" s="20">
        <v>1.45</v>
      </c>
      <c r="C15" s="5">
        <f t="shared" si="0"/>
        <v>0.94483668541179422</v>
      </c>
      <c r="D15" s="10">
        <v>1.3</v>
      </c>
      <c r="E15" s="5">
        <v>0.99860000000000004</v>
      </c>
      <c r="F15" s="26">
        <v>1.42</v>
      </c>
      <c r="G15" s="18">
        <v>0.97499999999999998</v>
      </c>
      <c r="H15" s="10">
        <v>1.68</v>
      </c>
      <c r="I15" s="5">
        <v>0.95499999999999996</v>
      </c>
      <c r="J15" s="10">
        <v>2.2000000000000002</v>
      </c>
      <c r="K15" s="5">
        <v>0.88200000000000001</v>
      </c>
      <c r="L15" s="10">
        <v>2.8</v>
      </c>
      <c r="M15" s="5">
        <v>0.71199999999999997</v>
      </c>
      <c r="N15" s="10"/>
      <c r="O15" s="5"/>
      <c r="P15" s="10"/>
      <c r="Q15" s="5"/>
    </row>
    <row r="16" spans="2:29" x14ac:dyDescent="0.4">
      <c r="B16" s="20">
        <v>1.5</v>
      </c>
      <c r="C16" s="5">
        <f t="shared" si="0"/>
        <v>0.92978651228282927</v>
      </c>
      <c r="D16" s="26">
        <v>1.24</v>
      </c>
      <c r="E16" s="18">
        <v>0.99529999999999996</v>
      </c>
      <c r="F16" s="10">
        <v>1.5</v>
      </c>
      <c r="G16" s="5">
        <v>0.94299999999999995</v>
      </c>
      <c r="H16" s="26">
        <v>1.615</v>
      </c>
      <c r="I16" s="18">
        <v>0.94</v>
      </c>
      <c r="J16" s="10">
        <v>2.1</v>
      </c>
      <c r="K16" s="5">
        <v>0.88900000000000001</v>
      </c>
      <c r="L16" s="10">
        <v>2.5</v>
      </c>
      <c r="M16" s="5">
        <v>0.75649999999999995</v>
      </c>
      <c r="N16" s="10"/>
      <c r="O16" s="5"/>
      <c r="P16" s="10"/>
      <c r="Q16" s="5"/>
    </row>
    <row r="17" spans="2:28" x14ac:dyDescent="0.4">
      <c r="B17" s="20">
        <v>1.55</v>
      </c>
      <c r="C17" s="5">
        <f t="shared" si="0"/>
        <v>0.91318827243034917</v>
      </c>
      <c r="D17" s="10">
        <v>1.3</v>
      </c>
      <c r="E17" s="5">
        <v>0.98199999999999998</v>
      </c>
      <c r="F17" s="10">
        <v>1.6</v>
      </c>
      <c r="G17" s="5">
        <v>0.90639999999999998</v>
      </c>
      <c r="H17" s="10">
        <v>1.65</v>
      </c>
      <c r="I17" s="5">
        <v>0.90900000000000003</v>
      </c>
      <c r="J17" s="10">
        <v>2</v>
      </c>
      <c r="K17" s="5">
        <v>0.89280000000000004</v>
      </c>
      <c r="L17" s="10">
        <v>2.4</v>
      </c>
      <c r="M17" s="5">
        <v>0.76880000000000004</v>
      </c>
      <c r="N17" s="10"/>
      <c r="O17" s="5"/>
      <c r="P17" s="10"/>
      <c r="Q17" s="5"/>
    </row>
    <row r="18" spans="2:28" ht="16.2" thickBot="1" x14ac:dyDescent="0.45">
      <c r="B18" s="20">
        <v>1.6</v>
      </c>
      <c r="C18" s="5">
        <f t="shared" si="0"/>
        <v>0.89520026046533652</v>
      </c>
      <c r="D18" s="27">
        <v>1.4</v>
      </c>
      <c r="E18" s="17">
        <v>0.96099999999999997</v>
      </c>
      <c r="F18" s="10">
        <v>1.7</v>
      </c>
      <c r="G18" s="5">
        <v>0.86599999999999999</v>
      </c>
      <c r="H18" s="10">
        <v>1.7</v>
      </c>
      <c r="I18" s="5">
        <v>0.88300000000000001</v>
      </c>
      <c r="J18" s="10">
        <v>1.875</v>
      </c>
      <c r="K18" s="5">
        <v>0.89</v>
      </c>
      <c r="L18" s="10">
        <v>2.2999999999999998</v>
      </c>
      <c r="M18" s="5">
        <v>0.77900000000000003</v>
      </c>
      <c r="N18" s="10"/>
      <c r="O18" s="5"/>
      <c r="P18" s="10"/>
      <c r="Q18" s="5"/>
    </row>
    <row r="19" spans="2:28" ht="16.2" thickBot="1" x14ac:dyDescent="0.45">
      <c r="B19" s="20">
        <v>1.65</v>
      </c>
      <c r="C19" s="5">
        <f t="shared" si="0"/>
        <v>0.87598837652705697</v>
      </c>
      <c r="D19" s="25">
        <v>1.5</v>
      </c>
      <c r="E19" s="16">
        <f>((((1.4+1)/2)^(1.4+1)*($D19*SIN(E$5))^(2*1.4))/((1+((1.4-1)/2)*($D19*SIN(E$5))^2)^1.4*(1.4*($D19*SIN(E$5))^2-((1.4-1)/2))))^((1)/(1.4-1))</f>
        <v>0.93097323536631904</v>
      </c>
      <c r="F19" s="27">
        <v>1.8</v>
      </c>
      <c r="G19" s="17">
        <v>0.82199999999999995</v>
      </c>
      <c r="H19" s="10">
        <v>1.8</v>
      </c>
      <c r="I19" s="5">
        <v>0.83499999999999996</v>
      </c>
      <c r="J19" s="26">
        <v>1.8380000000000001</v>
      </c>
      <c r="K19" s="18">
        <v>0.86899999999999999</v>
      </c>
      <c r="L19" s="10">
        <v>2.21</v>
      </c>
      <c r="M19" s="5">
        <v>0.78300000000000003</v>
      </c>
      <c r="N19" s="10">
        <v>3.5</v>
      </c>
      <c r="O19" s="5">
        <v>0.46500000000000002</v>
      </c>
      <c r="P19" s="10"/>
      <c r="Q19" s="5"/>
    </row>
    <row r="20" spans="2:28" x14ac:dyDescent="0.4">
      <c r="B20" s="20">
        <v>1.7</v>
      </c>
      <c r="C20" s="5">
        <f t="shared" si="0"/>
        <v>0.85572107902379757</v>
      </c>
      <c r="D20" s="10">
        <v>1.6</v>
      </c>
      <c r="E20" s="5">
        <f t="shared" ref="E20:E39" si="1">((((1.4+1)/2)^(1.4+1)*($D20*SIN(E$5))^(2*1.4))/((1+((1.4-1)/2)*($D20*SIN(E$5))^2)^1.4*(1.4*($D20*SIN(E$5))^2-((1.4-1)/2))))^((1)/(1.4-1))</f>
        <v>0.89668953855954769</v>
      </c>
      <c r="F20" s="25">
        <v>1.9</v>
      </c>
      <c r="G20" s="16">
        <f t="shared" ref="G20:I36" si="2">((((1.4+1)/2)^(1.4+1)*(F20*SIN(G$5))^(2*1.4))/((1+((1.4-1)/2)*(F20*SIN(G$5))^2)^1.4*(1.4*(F20*SIN(G$5))^2-((1.4-1)/2))))^((1)/(1.4-1))</f>
        <v>0.77271704449629175</v>
      </c>
      <c r="H20" s="10">
        <v>1.9</v>
      </c>
      <c r="I20" s="16">
        <v>0.78600000000000003</v>
      </c>
      <c r="J20" s="10">
        <v>1.9</v>
      </c>
      <c r="K20" s="5">
        <v>0.81299999999999994</v>
      </c>
      <c r="L20" s="10">
        <v>2.15</v>
      </c>
      <c r="M20" s="5">
        <v>0.77800000000000002</v>
      </c>
      <c r="N20" s="10">
        <v>3.3</v>
      </c>
      <c r="O20" s="5">
        <v>0.5</v>
      </c>
      <c r="P20" s="10"/>
      <c r="Q20" s="5"/>
    </row>
    <row r="21" spans="2:28" x14ac:dyDescent="0.4">
      <c r="B21" s="20">
        <v>1.75</v>
      </c>
      <c r="C21" s="5">
        <f t="shared" si="0"/>
        <v>0.83456539208449942</v>
      </c>
      <c r="D21" s="10">
        <v>1.7</v>
      </c>
      <c r="E21" s="5">
        <f t="shared" si="1"/>
        <v>0.85748419479104809</v>
      </c>
      <c r="F21" s="10">
        <v>2</v>
      </c>
      <c r="G21" s="16">
        <f t="shared" si="2"/>
        <v>0.72660209482121385</v>
      </c>
      <c r="H21" s="10">
        <v>2</v>
      </c>
      <c r="I21" s="16">
        <v>0.73699999999999999</v>
      </c>
      <c r="J21" s="10">
        <v>2</v>
      </c>
      <c r="K21" s="5">
        <v>0.75600000000000001</v>
      </c>
      <c r="L21" s="26">
        <v>2.1259999999999999</v>
      </c>
      <c r="M21" s="18">
        <v>0.75900000000000001</v>
      </c>
      <c r="N21" s="25">
        <v>3.1</v>
      </c>
      <c r="O21" s="5">
        <v>0.53700000000000003</v>
      </c>
      <c r="P21" s="25"/>
      <c r="Q21" s="5"/>
    </row>
    <row r="22" spans="2:28" ht="16.2" thickBot="1" x14ac:dyDescent="0.45">
      <c r="B22" s="20">
        <v>1.8</v>
      </c>
      <c r="C22" s="5">
        <f t="shared" si="0"/>
        <v>0.81268379959868853</v>
      </c>
      <c r="D22" s="10">
        <v>1.8</v>
      </c>
      <c r="E22" s="5">
        <f t="shared" si="1"/>
        <v>0.81468275132784285</v>
      </c>
      <c r="F22" s="10">
        <v>2.1</v>
      </c>
      <c r="G22" s="16">
        <f t="shared" si="2"/>
        <v>0.68019385655875653</v>
      </c>
      <c r="H22" s="27">
        <v>2.1</v>
      </c>
      <c r="I22" s="17">
        <v>0.68899999999999995</v>
      </c>
      <c r="J22" s="10">
        <v>2.1</v>
      </c>
      <c r="K22" s="5">
        <v>0.70199999999999996</v>
      </c>
      <c r="L22" s="10">
        <v>2.15</v>
      </c>
      <c r="M22" s="5">
        <v>0.72199999999999998</v>
      </c>
      <c r="N22" s="10">
        <v>2.9</v>
      </c>
      <c r="O22" s="5">
        <v>0.57250000000000001</v>
      </c>
      <c r="P22" s="10"/>
      <c r="Q22" s="5"/>
    </row>
    <row r="23" spans="2:28" x14ac:dyDescent="0.4">
      <c r="B23" s="20">
        <v>1.85</v>
      </c>
      <c r="C23" s="5">
        <f t="shared" si="0"/>
        <v>0.79023188655348287</v>
      </c>
      <c r="D23" s="10">
        <v>1.9</v>
      </c>
      <c r="E23" s="5">
        <f t="shared" si="1"/>
        <v>0.76954852360491333</v>
      </c>
      <c r="F23" s="10">
        <v>2.2000000000000002</v>
      </c>
      <c r="G23" s="16">
        <f t="shared" si="2"/>
        <v>0.63429111067139099</v>
      </c>
      <c r="H23" s="25">
        <v>2.2000000000000002</v>
      </c>
      <c r="I23" s="16">
        <f t="shared" si="2"/>
        <v>0.63954414111559987</v>
      </c>
      <c r="J23" s="25">
        <v>2.2000000000000002</v>
      </c>
      <c r="K23" s="16">
        <v>0.65100000000000002</v>
      </c>
      <c r="L23" s="25">
        <v>2.2000000000000002</v>
      </c>
      <c r="M23" s="5">
        <v>0.68600000000000005</v>
      </c>
      <c r="N23" s="10">
        <v>2.7</v>
      </c>
      <c r="O23" s="5">
        <v>0.60299999999999998</v>
      </c>
      <c r="P23" s="10"/>
      <c r="Q23" s="5"/>
      <c r="AB23"/>
    </row>
    <row r="24" spans="2:28" ht="16.2" thickBot="1" x14ac:dyDescent="0.45">
      <c r="B24" s="20">
        <v>1.9</v>
      </c>
      <c r="C24" s="5">
        <f t="shared" si="0"/>
        <v>0.76735660925323457</v>
      </c>
      <c r="D24" s="10">
        <v>2</v>
      </c>
      <c r="E24" s="5">
        <f t="shared" si="1"/>
        <v>0.72321447596145572</v>
      </c>
      <c r="F24" s="10">
        <v>2.2999999999999998</v>
      </c>
      <c r="G24" s="16">
        <f t="shared" si="2"/>
        <v>0.5895251960035558</v>
      </c>
      <c r="H24" s="10">
        <v>2.2999999999999998</v>
      </c>
      <c r="I24" s="16">
        <f t="shared" si="2"/>
        <v>0.59485187765508241</v>
      </c>
      <c r="J24" s="27">
        <v>2.2999999999999998</v>
      </c>
      <c r="K24" s="17">
        <v>0.60299999999999998</v>
      </c>
      <c r="L24" s="10">
        <v>2.2999999999999998</v>
      </c>
      <c r="M24" s="5">
        <v>0.627</v>
      </c>
      <c r="N24" s="10">
        <v>2.5649999999999999</v>
      </c>
      <c r="O24" s="5">
        <v>0.61199999999999999</v>
      </c>
      <c r="P24" s="10"/>
      <c r="Q24" s="5"/>
    </row>
    <row r="25" spans="2:28" x14ac:dyDescent="0.4">
      <c r="B25" s="20">
        <v>1.95</v>
      </c>
      <c r="C25" s="5">
        <f t="shared" si="0"/>
        <v>0.74419509207184276</v>
      </c>
      <c r="D25" s="10">
        <v>2.1</v>
      </c>
      <c r="E25" s="5">
        <f t="shared" si="1"/>
        <v>0.67664948152984683</v>
      </c>
      <c r="F25" s="10">
        <v>2.4</v>
      </c>
      <c r="G25" s="16">
        <f t="shared" si="2"/>
        <v>0.54637360468298235</v>
      </c>
      <c r="H25" s="10">
        <v>2.4</v>
      </c>
      <c r="I25" s="16">
        <f t="shared" si="2"/>
        <v>0.55170761073228358</v>
      </c>
      <c r="J25" s="25">
        <v>2.4</v>
      </c>
      <c r="K25" s="16">
        <f t="shared" ref="K25" si="3">((((1.4+1)/2)^(1.4+1)*(H25*SIN(K$5))^(2*1.4))/((1+((1.4-1)/2)*(H25*SIN(K$5))^2)^1.4*(1.4*(H25*SIN(K$5))^2-((1.4-1)/2))))^((1)/(1.4-1))</f>
        <v>0.55679831860296347</v>
      </c>
      <c r="L25" s="10">
        <v>2.4</v>
      </c>
      <c r="M25" s="5">
        <v>0.57599999999999996</v>
      </c>
      <c r="N25" s="26">
        <v>2.516</v>
      </c>
      <c r="O25" s="18">
        <v>0.59350000000000003</v>
      </c>
      <c r="P25" s="10"/>
      <c r="Q25" s="5"/>
    </row>
    <row r="26" spans="2:28" x14ac:dyDescent="0.4">
      <c r="B26" s="20">
        <v>2</v>
      </c>
      <c r="C26" s="5">
        <f t="shared" si="0"/>
        <v>0.72087386148474575</v>
      </c>
      <c r="D26" s="10">
        <v>2.2000000000000002</v>
      </c>
      <c r="E26" s="5">
        <f t="shared" si="1"/>
        <v>0.63064814286359361</v>
      </c>
      <c r="F26" s="10">
        <v>2.5</v>
      </c>
      <c r="G26" s="16">
        <f t="shared" si="2"/>
        <v>0.50517853734810947</v>
      </c>
      <c r="H26" s="10">
        <v>2.5</v>
      </c>
      <c r="I26" s="16">
        <f t="shared" si="2"/>
        <v>0.51046350829404075</v>
      </c>
      <c r="J26" s="10">
        <v>2.5</v>
      </c>
      <c r="K26" s="16">
        <f t="shared" ref="K26:K28" si="4">((((1.4+1)/2)^(1.4+1)*(H26*SIN(K$5))^(2*1.4))/((1+((1.4-1)/2)*(H26*SIN(K$5))^2)^1.4*(1.4*(H26*SIN(K$5))^2-((1.4-1)/2))))^((1)/(1.4-1))</f>
        <v>0.51551387521716441</v>
      </c>
      <c r="L26" s="10">
        <v>2.5</v>
      </c>
      <c r="M26" s="5">
        <v>0.52900000000000003</v>
      </c>
      <c r="N26" s="10">
        <v>2.5499999999999998</v>
      </c>
      <c r="O26" s="5">
        <v>0.55400000000000005</v>
      </c>
      <c r="P26" s="10"/>
      <c r="Q26" s="5"/>
    </row>
    <row r="27" spans="2:28" x14ac:dyDescent="0.4">
      <c r="B27" s="20">
        <v>2.0499999999999998</v>
      </c>
      <c r="C27" s="5">
        <f t="shared" si="0"/>
        <v>0.69750843932096973</v>
      </c>
      <c r="D27" s="10">
        <v>2.2999999999999998</v>
      </c>
      <c r="E27" s="5">
        <f t="shared" si="1"/>
        <v>0.58583596022247098</v>
      </c>
      <c r="F27" s="10">
        <v>2.6</v>
      </c>
      <c r="G27" s="16">
        <f t="shared" si="2"/>
        <v>0.46616732721433957</v>
      </c>
      <c r="H27" s="10">
        <v>2.6</v>
      </c>
      <c r="I27" s="16">
        <f t="shared" si="2"/>
        <v>0.471356720670987</v>
      </c>
      <c r="J27" s="10">
        <v>2.6</v>
      </c>
      <c r="K27" s="16">
        <f t="shared" si="4"/>
        <v>0.47632163636926</v>
      </c>
      <c r="L27" s="10">
        <v>2.6</v>
      </c>
      <c r="M27" s="5">
        <v>0.48599999999999999</v>
      </c>
      <c r="N27" s="25">
        <v>2.6</v>
      </c>
      <c r="O27" s="16">
        <v>0.52200000000000002</v>
      </c>
      <c r="P27" s="25"/>
      <c r="Q27" s="5"/>
    </row>
    <row r="28" spans="2:28" ht="16.2" thickBot="1" x14ac:dyDescent="0.45">
      <c r="B28" s="20">
        <v>2.1</v>
      </c>
      <c r="C28" s="5">
        <f t="shared" si="0"/>
        <v>0.67420322706305214</v>
      </c>
      <c r="D28" s="10">
        <v>2.4</v>
      </c>
      <c r="E28" s="5">
        <f t="shared" si="1"/>
        <v>0.54268371015872352</v>
      </c>
      <c r="F28" s="10">
        <v>2.7</v>
      </c>
      <c r="G28" s="16">
        <f t="shared" si="2"/>
        <v>0.4294726999735734</v>
      </c>
      <c r="H28" s="10">
        <v>2.7</v>
      </c>
      <c r="I28" s="16">
        <f t="shared" si="2"/>
        <v>0.43452921921018928</v>
      </c>
      <c r="J28" s="10">
        <v>2.7</v>
      </c>
      <c r="K28" s="16">
        <f t="shared" si="4"/>
        <v>0.43937234568894878</v>
      </c>
      <c r="L28" s="27">
        <v>2.7</v>
      </c>
      <c r="M28" s="17">
        <v>0.44700000000000001</v>
      </c>
      <c r="N28" s="25">
        <v>2.7</v>
      </c>
      <c r="O28" s="16">
        <v>0.47199999999999998</v>
      </c>
      <c r="P28" s="25">
        <v>3.5</v>
      </c>
      <c r="Q28" s="5">
        <v>0.34599999999999997</v>
      </c>
    </row>
    <row r="29" spans="2:28" x14ac:dyDescent="0.4">
      <c r="B29" s="20">
        <v>2.15</v>
      </c>
      <c r="C29" s="5">
        <f t="shared" si="0"/>
        <v>0.65105162192761434</v>
      </c>
      <c r="D29" s="10">
        <v>2.5</v>
      </c>
      <c r="E29" s="5">
        <f t="shared" si="1"/>
        <v>0.50152659551146428</v>
      </c>
      <c r="F29" s="10">
        <v>2.8</v>
      </c>
      <c r="G29" s="16">
        <f t="shared" si="2"/>
        <v>0.39515163240801376</v>
      </c>
      <c r="H29" s="10">
        <v>2.8</v>
      </c>
      <c r="I29" s="16">
        <f t="shared" si="2"/>
        <v>0.4000463970508964</v>
      </c>
      <c r="J29" s="25">
        <v>2.8</v>
      </c>
      <c r="K29" s="16">
        <f>((((1.4+1)/2)^(1.4+1)*(H29*SIN(K$5))^(2*1.4))/((1+((1.4-1)/2)*(H29*SIN(K$5))^2)^1.4*(1.4*(H29*SIN(K$5))^2-((1.4-1)/2))))^((1)/(1.4-1))</f>
        <v>0.40473941800707208</v>
      </c>
      <c r="L29" s="25">
        <v>2.8</v>
      </c>
      <c r="M29" s="16">
        <f>((((1.4+1)/2)^(1.4+1)*(J29*SIN(M$5))^(2*1.4))/((1+((1.4-1)/2)*(J29*SIN(M$5))^2)^1.4*(1.4*(J29*SIN(M$5))^2-((1.4-1)/2))))^((1)/(1.4-1))</f>
        <v>0.41033107953838149</v>
      </c>
      <c r="N29" s="10">
        <v>2.8</v>
      </c>
      <c r="O29" s="16">
        <v>0.42899999999999999</v>
      </c>
      <c r="P29" s="10">
        <v>3.3</v>
      </c>
      <c r="Q29" s="5">
        <v>0.372</v>
      </c>
    </row>
    <row r="30" spans="2:28" x14ac:dyDescent="0.4">
      <c r="B30" s="20">
        <v>2.2000000000000002</v>
      </c>
      <c r="C30" s="5">
        <f t="shared" si="0"/>
        <v>0.62813631354919564</v>
      </c>
      <c r="D30" s="10">
        <v>2.6</v>
      </c>
      <c r="E30" s="5">
        <f t="shared" si="1"/>
        <v>0.46258509546384113</v>
      </c>
      <c r="F30" s="10">
        <v>2.9</v>
      </c>
      <c r="G30" s="16">
        <f t="shared" si="2"/>
        <v>0.36320214652323718</v>
      </c>
      <c r="H30" s="10">
        <v>2.9</v>
      </c>
      <c r="I30" s="16">
        <f t="shared" si="2"/>
        <v>0.36791373024646179</v>
      </c>
      <c r="J30" s="10">
        <v>2.9</v>
      </c>
      <c r="K30" s="16">
        <f t="shared" ref="K30:K36" si="5">((((1.4+1)/2)^(1.4+1)*(H30*SIN(K$5))^(2*1.4))/((1+((1.4-1)/2)*(H30*SIN(K$5))^2)^1.4*(1.4*(H30*SIN(K$5))^2-((1.4-1)/2))))^((1)/(1.4-1))</f>
        <v>0.37243546307410436</v>
      </c>
      <c r="L30" s="10">
        <v>2.9</v>
      </c>
      <c r="M30" s="16">
        <f t="shared" ref="M30:O36" si="6">((((1.4+1)/2)^(1.4+1)*(J30*SIN(M$5))^(2*1.4))/((1+((1.4-1)/2)*(J30*SIN(M$5))^2)^1.4*(1.4*(J30*SIN(M$5))^2-((1.4-1)/2))))^((1)/(1.4-1))</f>
        <v>0.37782859158380155</v>
      </c>
      <c r="N30" s="10">
        <v>2.9</v>
      </c>
      <c r="O30" s="16">
        <v>0.39100000000000001</v>
      </c>
      <c r="P30" s="10">
        <v>3.18</v>
      </c>
      <c r="Q30" s="5">
        <v>0.3805</v>
      </c>
    </row>
    <row r="31" spans="2:28" ht="16.2" thickBot="1" x14ac:dyDescent="0.45">
      <c r="B31" s="20">
        <v>2.25</v>
      </c>
      <c r="C31" s="5">
        <f t="shared" si="0"/>
        <v>0.60552971744757467</v>
      </c>
      <c r="D31" s="10">
        <v>2.7</v>
      </c>
      <c r="E31" s="5">
        <f t="shared" si="1"/>
        <v>0.42598550959557474</v>
      </c>
      <c r="F31" s="10">
        <v>3</v>
      </c>
      <c r="G31" s="16">
        <f t="shared" si="2"/>
        <v>0.33357777092578467</v>
      </c>
      <c r="H31" s="10">
        <v>3</v>
      </c>
      <c r="I31" s="16">
        <f t="shared" si="2"/>
        <v>0.33809119695554091</v>
      </c>
      <c r="J31" s="10">
        <v>3</v>
      </c>
      <c r="K31" s="16">
        <f t="shared" si="5"/>
        <v>0.34242665539444356</v>
      </c>
      <c r="L31" s="10">
        <v>3</v>
      </c>
      <c r="M31" s="16">
        <f t="shared" si="6"/>
        <v>0.34760260361838224</v>
      </c>
      <c r="N31" s="27">
        <v>3</v>
      </c>
      <c r="O31" s="17">
        <v>0.35730000000000001</v>
      </c>
      <c r="P31" s="26">
        <v>3.1379999999999999</v>
      </c>
      <c r="Q31" s="18">
        <v>0.373</v>
      </c>
    </row>
    <row r="32" spans="2:28" x14ac:dyDescent="0.4">
      <c r="B32" s="20">
        <v>2.2999999999999998</v>
      </c>
      <c r="C32" s="5">
        <f t="shared" si="0"/>
        <v>0.58329450812554562</v>
      </c>
      <c r="D32" s="10">
        <v>2.8</v>
      </c>
      <c r="E32" s="5">
        <f t="shared" si="1"/>
        <v>0.39177898764171454</v>
      </c>
      <c r="F32" s="10">
        <v>3.1</v>
      </c>
      <c r="G32" s="16">
        <f t="shared" si="2"/>
        <v>0.30619965817406303</v>
      </c>
      <c r="H32" s="10">
        <v>3.1</v>
      </c>
      <c r="I32" s="16">
        <f t="shared" si="2"/>
        <v>0.31050541521127234</v>
      </c>
      <c r="J32" s="10">
        <v>3.1</v>
      </c>
      <c r="K32" s="16">
        <f t="shared" si="5"/>
        <v>0.31464488394076012</v>
      </c>
      <c r="L32" s="10">
        <v>3.1</v>
      </c>
      <c r="M32" s="16">
        <f t="shared" si="6"/>
        <v>0.31959132110282829</v>
      </c>
      <c r="N32" s="25">
        <v>3.1</v>
      </c>
      <c r="O32" s="16">
        <f t="shared" si="6"/>
        <v>0.32749282829008969</v>
      </c>
      <c r="P32" s="25">
        <v>3.15</v>
      </c>
      <c r="Q32" s="16">
        <v>0.35699999999999998</v>
      </c>
    </row>
    <row r="33" spans="2:17" x14ac:dyDescent="0.4">
      <c r="B33" s="20">
        <v>2.35</v>
      </c>
      <c r="C33" s="5">
        <f t="shared" si="0"/>
        <v>0.56148422064455572</v>
      </c>
      <c r="D33" s="10">
        <v>2.9</v>
      </c>
      <c r="E33" s="5">
        <f t="shared" si="1"/>
        <v>0.3599584090233614</v>
      </c>
      <c r="F33" s="10">
        <v>3.2</v>
      </c>
      <c r="G33" s="16">
        <f t="shared" si="2"/>
        <v>0.2809665020476706</v>
      </c>
      <c r="H33" s="10">
        <v>3.2</v>
      </c>
      <c r="I33" s="16">
        <f t="shared" si="2"/>
        <v>0.28505962089186293</v>
      </c>
      <c r="J33" s="10">
        <v>3.2</v>
      </c>
      <c r="K33" s="16">
        <f t="shared" si="5"/>
        <v>0.28899778205713644</v>
      </c>
      <c r="L33" s="10">
        <v>3.2</v>
      </c>
      <c r="M33" s="16">
        <f t="shared" si="6"/>
        <v>0.29370766877237847</v>
      </c>
      <c r="N33" s="10">
        <v>3.2</v>
      </c>
      <c r="O33" s="16">
        <f t="shared" si="6"/>
        <v>0.30124032311619603</v>
      </c>
      <c r="P33" s="10">
        <v>3.2</v>
      </c>
      <c r="Q33" s="16">
        <v>0.33200000000000002</v>
      </c>
    </row>
    <row r="34" spans="2:17" x14ac:dyDescent="0.4">
      <c r="B34" s="20">
        <v>2.4</v>
      </c>
      <c r="C34" s="5">
        <f t="shared" si="0"/>
        <v>0.54014389488089332</v>
      </c>
      <c r="D34" s="10">
        <v>3</v>
      </c>
      <c r="E34" s="5">
        <f t="shared" si="1"/>
        <v>0.33047286769050638</v>
      </c>
      <c r="F34" s="10">
        <v>3.3</v>
      </c>
      <c r="G34" s="16">
        <f t="shared" si="2"/>
        <v>0.25776248190390483</v>
      </c>
      <c r="H34" s="10">
        <v>3.3</v>
      </c>
      <c r="I34" s="16">
        <f t="shared" si="2"/>
        <v>0.2616416961413689</v>
      </c>
      <c r="J34" s="10">
        <v>3.3</v>
      </c>
      <c r="K34" s="16">
        <f t="shared" si="5"/>
        <v>0.26537683152192743</v>
      </c>
      <c r="L34" s="10">
        <v>3.3</v>
      </c>
      <c r="M34" s="16">
        <f t="shared" si="6"/>
        <v>0.26984747848186424</v>
      </c>
      <c r="N34" s="10">
        <v>3.3</v>
      </c>
      <c r="O34" s="16">
        <f t="shared" si="6"/>
        <v>0.27700556840957719</v>
      </c>
      <c r="P34" s="10">
        <v>3.3</v>
      </c>
      <c r="Q34" s="5">
        <v>0.29799999999999999</v>
      </c>
    </row>
    <row r="35" spans="2:17" ht="16.2" thickBot="1" x14ac:dyDescent="0.45">
      <c r="B35" s="20">
        <v>2.4500000000000002</v>
      </c>
      <c r="C35" s="5">
        <f t="shared" si="0"/>
        <v>0.51931074139979472</v>
      </c>
      <c r="D35" s="10">
        <v>3.1</v>
      </c>
      <c r="E35" s="5">
        <f t="shared" si="1"/>
        <v>0.3032397706324319</v>
      </c>
      <c r="F35" s="10">
        <v>3.4</v>
      </c>
      <c r="G35" s="16">
        <f t="shared" si="2"/>
        <v>0.23646349585475601</v>
      </c>
      <c r="H35" s="10">
        <v>3.4</v>
      </c>
      <c r="I35" s="16">
        <f t="shared" si="2"/>
        <v>0.2401304976683529</v>
      </c>
      <c r="J35" s="10">
        <v>3.4</v>
      </c>
      <c r="K35" s="16">
        <f t="shared" si="5"/>
        <v>0.24366377826453306</v>
      </c>
      <c r="L35" s="10">
        <v>3.4</v>
      </c>
      <c r="M35" s="16">
        <f t="shared" si="6"/>
        <v>0.24789600420801144</v>
      </c>
      <c r="N35" s="10">
        <v>3.4</v>
      </c>
      <c r="O35" s="16">
        <f t="shared" si="6"/>
        <v>0.25467954157828859</v>
      </c>
      <c r="P35" s="27">
        <v>3.4</v>
      </c>
      <c r="Q35" s="17">
        <v>0.27</v>
      </c>
    </row>
    <row r="36" spans="2:17" x14ac:dyDescent="0.4">
      <c r="B36" s="20">
        <v>2.5</v>
      </c>
      <c r="C36" s="5">
        <f t="shared" si="0"/>
        <v>0.49901481202915121</v>
      </c>
      <c r="D36" s="10">
        <v>3.2</v>
      </c>
      <c r="E36" s="5">
        <f t="shared" si="1"/>
        <v>0.27815470942422532</v>
      </c>
      <c r="F36" s="10">
        <v>3.5</v>
      </c>
      <c r="G36" s="16">
        <f t="shared" si="2"/>
        <v>0.21694194788937024</v>
      </c>
      <c r="H36" s="10">
        <v>3.5</v>
      </c>
      <c r="I36" s="16">
        <f t="shared" si="2"/>
        <v>0.22040074148669114</v>
      </c>
      <c r="J36" s="10">
        <v>3.5</v>
      </c>
      <c r="K36" s="16">
        <f t="shared" si="5"/>
        <v>0.22373560792157701</v>
      </c>
      <c r="L36" s="10">
        <v>3.5</v>
      </c>
      <c r="M36" s="16">
        <f t="shared" si="6"/>
        <v>0.22773300220591197</v>
      </c>
      <c r="N36" s="10">
        <v>3.5</v>
      </c>
      <c r="O36" s="16">
        <f t="shared" si="6"/>
        <v>0.23414655206576382</v>
      </c>
      <c r="P36" s="25">
        <v>3.5</v>
      </c>
      <c r="Q36" s="16">
        <f t="shared" ref="Q36" si="7">((((1.4+1)/2)^(1.4+1)*(P36*SIN(Q$5))^(2*1.4))/((1+((1.4-1)/2)*(P36*SIN(Q$5))^2)^1.4*(1.4*(P36*SIN(Q$5))^2-((1.4-1)/2))))^((1)/(1.4-1))</f>
        <v>0.24627140920000326</v>
      </c>
    </row>
    <row r="37" spans="2:17" x14ac:dyDescent="0.4">
      <c r="B37" s="20">
        <v>2.5499999999999998</v>
      </c>
      <c r="C37" s="5">
        <f t="shared" si="0"/>
        <v>0.47927966180462583</v>
      </c>
      <c r="D37" s="10">
        <v>3.3</v>
      </c>
      <c r="E37" s="5">
        <f t="shared" si="1"/>
        <v>0.25509934359305275</v>
      </c>
      <c r="F37" s="10"/>
      <c r="G37" s="5"/>
      <c r="H37" s="10"/>
      <c r="I37" s="5"/>
      <c r="J37" s="10"/>
      <c r="K37" s="5"/>
      <c r="L37" s="10"/>
      <c r="M37" s="16"/>
      <c r="N37" s="10"/>
      <c r="O37" s="5"/>
      <c r="P37" s="10"/>
      <c r="Q37" s="5"/>
    </row>
    <row r="38" spans="2:17" x14ac:dyDescent="0.4">
      <c r="B38" s="20">
        <v>2.6</v>
      </c>
      <c r="C38" s="5">
        <f t="shared" si="0"/>
        <v>0.4601229920348951</v>
      </c>
      <c r="D38" s="10">
        <v>3.4</v>
      </c>
      <c r="E38" s="5">
        <f t="shared" si="1"/>
        <v>0.23394756592546659</v>
      </c>
      <c r="F38" s="10"/>
      <c r="G38" s="5"/>
      <c r="H38" s="10"/>
      <c r="I38" s="5"/>
      <c r="J38" s="10"/>
      <c r="K38" s="5"/>
      <c r="L38" s="10"/>
      <c r="M38" s="5"/>
      <c r="N38" s="10"/>
      <c r="O38" s="5"/>
      <c r="P38" s="10"/>
      <c r="Q38" s="5"/>
    </row>
    <row r="39" spans="2:17" x14ac:dyDescent="0.4">
      <c r="B39" s="20">
        <v>2.65</v>
      </c>
      <c r="C39" s="5">
        <f t="shared" si="0"/>
        <v>0.44155726684386321</v>
      </c>
      <c r="D39" s="10">
        <v>3.5</v>
      </c>
      <c r="E39" s="5">
        <f t="shared" si="1"/>
        <v>0.21457022062792372</v>
      </c>
      <c r="F39" s="10"/>
      <c r="G39" s="5"/>
      <c r="H39" s="10"/>
      <c r="I39" s="5"/>
      <c r="J39" s="10"/>
      <c r="K39" s="5"/>
      <c r="L39" s="10"/>
      <c r="M39" s="5"/>
      <c r="N39" s="10"/>
      <c r="O39" s="5"/>
      <c r="P39" s="10"/>
      <c r="Q39" s="5"/>
    </row>
    <row r="40" spans="2:17" x14ac:dyDescent="0.4">
      <c r="B40" s="20">
        <v>2.7</v>
      </c>
      <c r="C40" s="5">
        <f t="shared" si="0"/>
        <v>0.4235902977319202</v>
      </c>
      <c r="D40" s="10"/>
      <c r="E40" s="5"/>
      <c r="F40" s="10"/>
      <c r="G40" s="5"/>
      <c r="H40" s="10"/>
      <c r="I40" s="5"/>
      <c r="J40" s="10"/>
      <c r="K40" s="5"/>
      <c r="L40" s="10"/>
      <c r="M40" s="5"/>
      <c r="N40" s="10"/>
      <c r="O40" s="5"/>
      <c r="P40" s="10"/>
      <c r="Q40" s="5"/>
    </row>
    <row r="41" spans="2:17" x14ac:dyDescent="0.4">
      <c r="B41" s="20">
        <v>2.75</v>
      </c>
      <c r="C41" s="5">
        <f t="shared" si="0"/>
        <v>0.4062257925068673</v>
      </c>
      <c r="D41" s="10"/>
      <c r="E41" s="5"/>
      <c r="F41" s="10"/>
      <c r="G41" s="5"/>
      <c r="H41" s="10"/>
      <c r="I41" s="5"/>
      <c r="J41" s="10"/>
      <c r="K41" s="5"/>
      <c r="L41" s="10"/>
      <c r="M41" s="5"/>
      <c r="N41" s="10"/>
      <c r="O41" s="5"/>
      <c r="P41" s="10"/>
      <c r="Q41" s="5"/>
    </row>
    <row r="42" spans="2:17" x14ac:dyDescent="0.4">
      <c r="B42" s="20">
        <v>2.8</v>
      </c>
      <c r="C42" s="5">
        <f t="shared" si="0"/>
        <v>0.38946386641192116</v>
      </c>
      <c r="D42" s="10"/>
      <c r="E42" s="5"/>
      <c r="F42" s="10"/>
      <c r="G42" s="5"/>
      <c r="H42" s="10"/>
      <c r="I42" s="5"/>
      <c r="J42" s="10"/>
      <c r="K42" s="5"/>
      <c r="L42" s="10"/>
      <c r="M42" s="5"/>
      <c r="N42" s="10"/>
      <c r="O42" s="5"/>
      <c r="P42" s="10"/>
      <c r="Q42" s="5"/>
    </row>
    <row r="43" spans="2:17" x14ac:dyDescent="0.4">
      <c r="B43" s="20">
        <v>2.85</v>
      </c>
      <c r="C43" s="5">
        <f t="shared" si="0"/>
        <v>0.37330151446622861</v>
      </c>
      <c r="D43" s="10"/>
      <c r="E43" s="5"/>
      <c r="F43" s="10"/>
      <c r="G43" s="5"/>
      <c r="H43" s="10"/>
      <c r="I43" s="5"/>
      <c r="J43" s="10"/>
      <c r="K43" s="5"/>
      <c r="L43" s="10"/>
      <c r="M43" s="5"/>
      <c r="N43" s="10"/>
      <c r="O43" s="5"/>
      <c r="P43" s="10"/>
      <c r="Q43" s="5"/>
    </row>
    <row r="44" spans="2:17" x14ac:dyDescent="0.4">
      <c r="B44" s="20">
        <v>2.9</v>
      </c>
      <c r="C44" s="5">
        <f t="shared" si="0"/>
        <v>0.35773304497254471</v>
      </c>
      <c r="D44" s="10"/>
      <c r="E44" s="5"/>
      <c r="F44" s="10"/>
      <c r="G44" s="5"/>
      <c r="H44" s="10"/>
      <c r="I44" s="5"/>
      <c r="J44" s="10"/>
      <c r="K44" s="5"/>
      <c r="L44" s="10"/>
      <c r="M44" s="5"/>
      <c r="N44" s="10"/>
      <c r="O44" s="5"/>
      <c r="P44" s="10"/>
      <c r="Q44" s="5"/>
    </row>
    <row r="45" spans="2:17" x14ac:dyDescent="0.4">
      <c r="B45" s="20">
        <v>2.95</v>
      </c>
      <c r="C45" s="5">
        <f t="shared" si="0"/>
        <v>0.34275047487402643</v>
      </c>
      <c r="D45" s="10"/>
      <c r="E45" s="5"/>
      <c r="F45" s="10"/>
      <c r="G45" s="5"/>
      <c r="H45" s="10"/>
      <c r="I45" s="5"/>
      <c r="J45" s="10"/>
      <c r="K45" s="5"/>
      <c r="L45" s="10"/>
      <c r="M45" s="5"/>
      <c r="N45" s="10"/>
      <c r="O45" s="5"/>
      <c r="P45" s="10"/>
      <c r="Q45" s="5"/>
    </row>
    <row r="46" spans="2:17" x14ac:dyDescent="0.4">
      <c r="B46" s="20">
        <v>3</v>
      </c>
      <c r="C46" s="5">
        <f t="shared" si="0"/>
        <v>0.32834388819073695</v>
      </c>
      <c r="D46" s="10"/>
      <c r="E46" s="5"/>
      <c r="F46" s="10"/>
      <c r="G46" s="5"/>
      <c r="H46" s="10"/>
      <c r="I46" s="5"/>
      <c r="J46" s="10"/>
      <c r="K46" s="5"/>
      <c r="L46" s="10"/>
      <c r="M46" s="5"/>
      <c r="N46" s="10"/>
      <c r="O46" s="5"/>
      <c r="P46" s="10"/>
      <c r="Q46" s="5"/>
    </row>
    <row r="47" spans="2:17" x14ac:dyDescent="0.4">
      <c r="B47" s="20">
        <v>3.05</v>
      </c>
      <c r="C47" s="5">
        <f t="shared" si="0"/>
        <v>0.3145017591661417</v>
      </c>
      <c r="D47" s="10"/>
      <c r="E47" s="5"/>
      <c r="F47" s="10"/>
      <c r="G47" s="5"/>
      <c r="H47" s="10"/>
      <c r="I47" s="13"/>
      <c r="J47" s="10"/>
      <c r="K47" s="13"/>
      <c r="L47" s="10"/>
      <c r="M47" s="13"/>
      <c r="N47" s="10"/>
      <c r="O47" s="13"/>
      <c r="P47" s="10"/>
      <c r="Q47" s="13"/>
    </row>
    <row r="48" spans="2:17" x14ac:dyDescent="0.4">
      <c r="B48" s="20">
        <v>3.1</v>
      </c>
      <c r="C48" s="5">
        <f t="shared" si="0"/>
        <v>0.30121124203081562</v>
      </c>
      <c r="D48" s="10"/>
      <c r="E48" s="5"/>
      <c r="F48" s="10"/>
      <c r="G48" s="5"/>
      <c r="H48" s="10"/>
      <c r="I48" s="13"/>
      <c r="J48" s="10"/>
      <c r="K48" s="13"/>
      <c r="L48" s="10"/>
      <c r="M48" s="13"/>
      <c r="N48" s="10"/>
      <c r="O48" s="13"/>
      <c r="P48" s="10"/>
      <c r="Q48" s="13"/>
    </row>
    <row r="49" spans="2:17" x14ac:dyDescent="0.4">
      <c r="B49" s="20">
        <v>3.15</v>
      </c>
      <c r="C49" s="5">
        <f t="shared" si="0"/>
        <v>0.28845842946759725</v>
      </c>
      <c r="D49" s="10"/>
      <c r="E49" s="5"/>
      <c r="F49" s="10"/>
      <c r="G49" s="5"/>
      <c r="H49" s="10"/>
      <c r="I49" s="13"/>
      <c r="J49" s="10"/>
      <c r="K49" s="13"/>
      <c r="L49" s="10"/>
      <c r="M49" s="13"/>
      <c r="N49" s="10"/>
      <c r="O49" s="13"/>
      <c r="P49" s="10"/>
      <c r="Q49" s="13"/>
    </row>
    <row r="50" spans="2:17" x14ac:dyDescent="0.4">
      <c r="B50" s="20">
        <v>3.2</v>
      </c>
      <c r="C50" s="5">
        <f t="shared" si="0"/>
        <v>0.27622858195917344</v>
      </c>
      <c r="D50" s="10"/>
      <c r="E50" s="5"/>
      <c r="F50" s="10"/>
      <c r="G50" s="5"/>
      <c r="H50" s="10"/>
      <c r="I50" s="13"/>
      <c r="J50" s="10"/>
      <c r="K50" s="13"/>
      <c r="L50" s="10"/>
      <c r="M50" s="13"/>
      <c r="N50" s="10"/>
      <c r="O50" s="13"/>
      <c r="P50" s="10"/>
      <c r="Q50" s="13"/>
    </row>
    <row r="51" spans="2:17" x14ac:dyDescent="0.4">
      <c r="B51" s="20">
        <v>3.25</v>
      </c>
      <c r="C51" s="5">
        <f t="shared" si="0"/>
        <v>0.26450633023243536</v>
      </c>
      <c r="D51" s="10"/>
      <c r="E51" s="5"/>
      <c r="F51" s="10"/>
      <c r="G51" s="5"/>
      <c r="H51" s="10"/>
      <c r="I51" s="13"/>
      <c r="J51" s="10"/>
      <c r="K51" s="13"/>
      <c r="L51" s="10"/>
      <c r="M51" s="13"/>
      <c r="N51" s="10"/>
      <c r="O51" s="13"/>
      <c r="P51" s="10"/>
      <c r="Q51" s="13"/>
    </row>
    <row r="52" spans="2:17" x14ac:dyDescent="0.4">
      <c r="B52" s="20">
        <v>3.3</v>
      </c>
      <c r="C52" s="5">
        <f t="shared" si="0"/>
        <v>0.25327585299801569</v>
      </c>
      <c r="D52" s="10"/>
      <c r="E52" s="5"/>
      <c r="F52" s="10"/>
      <c r="G52" s="5"/>
      <c r="H52" s="10"/>
      <c r="I52" s="13"/>
      <c r="J52" s="10"/>
      <c r="K52" s="13"/>
      <c r="L52" s="10"/>
      <c r="M52" s="13"/>
      <c r="N52" s="10"/>
      <c r="O52" s="13"/>
      <c r="P52" s="10"/>
      <c r="Q52" s="13"/>
    </row>
    <row r="53" spans="2:17" x14ac:dyDescent="0.4">
      <c r="B53" s="20">
        <v>3.35</v>
      </c>
      <c r="C53" s="5">
        <f t="shared" si="0"/>
        <v>0.24252103213017481</v>
      </c>
      <c r="D53" s="10"/>
      <c r="E53" s="5"/>
      <c r="F53" s="10"/>
      <c r="G53" s="5"/>
      <c r="H53" s="10"/>
      <c r="I53" s="13"/>
      <c r="J53" s="10"/>
      <c r="K53" s="13"/>
      <c r="L53" s="10"/>
      <c r="M53" s="13"/>
      <c r="N53" s="10"/>
      <c r="O53" s="13"/>
      <c r="P53" s="10"/>
      <c r="Q53" s="13"/>
    </row>
    <row r="54" spans="2:17" customFormat="1" x14ac:dyDescent="0.4">
      <c r="B54" s="20">
        <v>3.4</v>
      </c>
      <c r="C54" s="5">
        <f t="shared" si="0"/>
        <v>0.23222558735142332</v>
      </c>
      <c r="D54" s="10"/>
      <c r="E54" s="5"/>
      <c r="F54" s="10"/>
      <c r="G54" s="5"/>
      <c r="H54" s="10"/>
      <c r="I54" s="13"/>
      <c r="J54" s="10"/>
      <c r="K54" s="13"/>
      <c r="L54" s="10"/>
      <c r="M54" s="13"/>
      <c r="N54" s="10"/>
      <c r="O54" s="13"/>
      <c r="P54" s="10"/>
      <c r="Q54" s="13"/>
    </row>
    <row r="55" spans="2:17" customFormat="1" x14ac:dyDescent="0.4">
      <c r="B55" s="20">
        <v>3.45</v>
      </c>
      <c r="C55" s="5">
        <f t="shared" si="0"/>
        <v>0.22237319238607181</v>
      </c>
      <c r="D55" s="10"/>
      <c r="E55" s="5"/>
      <c r="F55" s="10"/>
      <c r="G55" s="5"/>
      <c r="H55" s="10"/>
      <c r="I55" s="13"/>
      <c r="J55" s="10"/>
      <c r="K55" s="13"/>
      <c r="L55" s="10"/>
      <c r="M55" s="13"/>
      <c r="N55" s="10"/>
      <c r="O55" s="13"/>
      <c r="P55" s="10"/>
      <c r="Q55" s="13"/>
    </row>
    <row r="56" spans="2:17" customFormat="1" x14ac:dyDescent="0.4">
      <c r="B56" s="20">
        <v>3.5</v>
      </c>
      <c r="C56" s="5">
        <f t="shared" si="0"/>
        <v>0.2129475744338053</v>
      </c>
      <c r="D56" s="10"/>
      <c r="E56" s="5"/>
      <c r="F56" s="10"/>
      <c r="G56" s="5"/>
      <c r="H56" s="10"/>
      <c r="I56" s="13"/>
      <c r="J56" s="10"/>
      <c r="K56" s="13"/>
      <c r="L56" s="10"/>
      <c r="M56" s="13"/>
      <c r="N56" s="10"/>
      <c r="O56" s="13"/>
      <c r="P56" s="10"/>
      <c r="Q56" s="13"/>
    </row>
    <row r="57" spans="2:17" customFormat="1" ht="14.4" x14ac:dyDescent="0.3">
      <c r="B57" s="22"/>
      <c r="D57" s="28"/>
      <c r="F57" s="28"/>
      <c r="H57" s="28"/>
      <c r="J57" s="28"/>
      <c r="L57" s="28"/>
      <c r="N57" s="28"/>
      <c r="P57" s="28"/>
    </row>
    <row r="58" spans="2:17" customFormat="1" ht="14.4" x14ac:dyDescent="0.3">
      <c r="B58" s="22"/>
      <c r="D58" s="28"/>
      <c r="F58" s="28"/>
      <c r="H58" s="28"/>
      <c r="J58" s="28"/>
      <c r="L58" s="28"/>
      <c r="N58" s="28"/>
      <c r="P58" s="28"/>
    </row>
    <row r="59" spans="2:17" customFormat="1" ht="14.4" x14ac:dyDescent="0.3">
      <c r="B59" s="22"/>
      <c r="D59" s="28"/>
      <c r="F59" s="28"/>
      <c r="H59" s="28"/>
      <c r="J59" s="28"/>
      <c r="L59" s="28"/>
      <c r="N59" s="28"/>
      <c r="P59" s="28"/>
    </row>
    <row r="60" spans="2:17" customFormat="1" ht="14.4" x14ac:dyDescent="0.3">
      <c r="B60" s="22"/>
      <c r="D60" s="28"/>
      <c r="F60" s="28"/>
      <c r="H60" s="28"/>
      <c r="J60" s="28"/>
      <c r="L60" s="28"/>
      <c r="N60" s="28"/>
      <c r="P60" s="28"/>
    </row>
    <row r="61" spans="2:17" customFormat="1" ht="14.4" x14ac:dyDescent="0.3">
      <c r="B61" s="22"/>
      <c r="D61" s="28"/>
      <c r="F61" s="28"/>
      <c r="H61" s="28"/>
      <c r="J61" s="28"/>
      <c r="L61" s="28"/>
      <c r="N61" s="28"/>
      <c r="P61" s="28"/>
    </row>
    <row r="62" spans="2:17" customFormat="1" ht="14.4" x14ac:dyDescent="0.3">
      <c r="B62" s="22"/>
      <c r="D62" s="28"/>
      <c r="F62" s="28"/>
      <c r="H62" s="28"/>
      <c r="J62" s="28"/>
      <c r="L62" s="28"/>
      <c r="N62" s="28"/>
      <c r="P62" s="28"/>
    </row>
    <row r="63" spans="2:17" customFormat="1" ht="14.4" x14ac:dyDescent="0.3">
      <c r="B63" s="22"/>
      <c r="D63" s="28"/>
      <c r="F63" s="28"/>
      <c r="H63" s="28"/>
      <c r="J63" s="28"/>
      <c r="L63" s="28"/>
      <c r="N63" s="28"/>
      <c r="P63" s="28"/>
    </row>
    <row r="64" spans="2:17" x14ac:dyDescent="0.4">
      <c r="D64" s="28"/>
    </row>
    <row r="65" spans="4:4" x14ac:dyDescent="0.4">
      <c r="D65" s="28"/>
    </row>
    <row r="66" spans="4:4" x14ac:dyDescent="0.4">
      <c r="D66" s="28"/>
    </row>
    <row r="67" spans="4:4" x14ac:dyDescent="0.4">
      <c r="D67" s="28"/>
    </row>
    <row r="68" spans="4:4" x14ac:dyDescent="0.4">
      <c r="D68" s="28"/>
    </row>
    <row r="69" spans="4:4" x14ac:dyDescent="0.4">
      <c r="D69" s="28"/>
    </row>
    <row r="70" spans="4:4" x14ac:dyDescent="0.4">
      <c r="D70" s="28"/>
    </row>
    <row r="71" spans="4:4" x14ac:dyDescent="0.4">
      <c r="D71" s="28"/>
    </row>
    <row r="72" spans="4:4" x14ac:dyDescent="0.4">
      <c r="D72" s="28"/>
    </row>
    <row r="73" spans="4:4" x14ac:dyDescent="0.4">
      <c r="D73" s="28"/>
    </row>
    <row r="74" spans="4:4" x14ac:dyDescent="0.4">
      <c r="D74" s="28"/>
    </row>
  </sheetData>
  <mergeCells count="15">
    <mergeCell ref="H2:H5"/>
    <mergeCell ref="I3:I4"/>
    <mergeCell ref="J2:J5"/>
    <mergeCell ref="K3:K4"/>
    <mergeCell ref="M3:M4"/>
    <mergeCell ref="O3:O4"/>
    <mergeCell ref="Q3:Q4"/>
    <mergeCell ref="L2:L5"/>
    <mergeCell ref="N2:N5"/>
    <mergeCell ref="P2:P5"/>
    <mergeCell ref="E3:E4"/>
    <mergeCell ref="F2:F5"/>
    <mergeCell ref="G3:G4"/>
    <mergeCell ref="D2:D5"/>
    <mergeCell ref="B2:B5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Adiabate-Vorgänge</vt:lpstr>
      <vt:lpstr>xliv</vt:lpstr>
      <vt:lpstr>xlv</vt:lpstr>
      <vt:lpstr>xlvi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Wolff</dc:creator>
  <cp:lastModifiedBy>Phillip Wolff</cp:lastModifiedBy>
  <dcterms:created xsi:type="dcterms:W3CDTF">2026-01-14T20:39:11Z</dcterms:created>
  <dcterms:modified xsi:type="dcterms:W3CDTF">2026-01-25T15:21:10Z</dcterms:modified>
</cp:coreProperties>
</file>
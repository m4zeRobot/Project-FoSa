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\Documents\Git\Project-FoSa\B.Sc. LRT\Luftfahrttechnik\images\"/>
    </mc:Choice>
  </mc:AlternateContent>
  <xr:revisionPtr revIDLastSave="0" documentId="13_ncr:1_{BB234441-CC32-4CD1-B50E-50D6CFF4B49C}" xr6:coauthVersionLast="47" xr6:coauthVersionMax="47" xr10:uidLastSave="{00000000-0000-0000-0000-000000000000}"/>
  <bookViews>
    <workbookView xWindow="-108" yWindow="-108" windowWidth="46296" windowHeight="18696" xr2:uid="{F5029501-488A-4985-9362-6A3818127A25}"/>
  </bookViews>
  <sheets>
    <sheet name="Polar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17" i="1"/>
  <c r="F18" i="1"/>
  <c r="F19" i="1"/>
  <c r="F20" i="1"/>
  <c r="F21" i="1"/>
  <c r="F22" i="1"/>
  <c r="F23" i="1"/>
  <c r="F16" i="1"/>
</calcChain>
</file>

<file path=xl/sharedStrings.xml><?xml version="1.0" encoding="utf-8"?>
<sst xmlns="http://schemas.openxmlformats.org/spreadsheetml/2006/main" count="19" uniqueCount="13">
  <si>
    <t>AoA</t>
  </si>
  <si>
    <t>α</t>
  </si>
  <si>
    <t>DEG</t>
  </si>
  <si>
    <t>-</t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</si>
  <si>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L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</si>
  <si>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L1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</si>
  <si>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L2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</si>
  <si>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L3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</si>
  <si>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L4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</si>
  <si>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M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</si>
  <si>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M1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</si>
  <si>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M2</t>
    </r>
  </si>
  <si>
    <r>
      <rPr>
        <i/>
        <sz val="11"/>
        <color theme="0"/>
        <rFont val="CMU Serif"/>
      </rPr>
      <t>C</t>
    </r>
    <r>
      <rPr>
        <vertAlign val="subscript"/>
        <sz val="11"/>
        <color theme="0"/>
        <rFont val="CMU Serif"/>
      </rPr>
      <t>M3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</si>
</sst>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MU Serif"/>
    </font>
    <font>
      <sz val="11"/>
      <color theme="0"/>
      <name val="CMU Serif"/>
    </font>
    <font>
      <vertAlign val="subscript"/>
      <sz val="11"/>
      <color theme="0"/>
      <name val="CMU Serif"/>
    </font>
    <font>
      <i/>
      <sz val="11"/>
      <color theme="0"/>
      <name val="CMU Serif"/>
    </font>
    <font>
      <b/>
      <sz val="11"/>
      <color theme="1"/>
      <name val="CMU Serif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/>
    <xf numFmtId="0" fontId="5" fillId="4" borderId="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0760611749726"/>
          <c:y val="1.42637709334837E-2"/>
          <c:w val="0.74753520993643419"/>
          <c:h val="0.920597359121710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Polare!$C$3</c:f>
              <c:strCache>
                <c:ptCount val="1"/>
                <c:pt idx="0">
                  <c:v>CL1</c:v>
                </c:pt>
              </c:strCache>
            </c:strRef>
          </c:tx>
          <c:spPr>
            <a:ln w="254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</c:marker>
          <c:xVal>
            <c:numRef>
              <c:f>Polare!$B$5:$B$37</c:f>
              <c:numCache>
                <c:formatCode>General</c:formatCode>
                <c:ptCount val="33"/>
                <c:pt idx="0">
                  <c:v>-32</c:v>
                </c:pt>
                <c:pt idx="1">
                  <c:v>-30</c:v>
                </c:pt>
                <c:pt idx="2">
                  <c:v>-28</c:v>
                </c:pt>
                <c:pt idx="3">
                  <c:v>-26</c:v>
                </c:pt>
                <c:pt idx="4">
                  <c:v>-24</c:v>
                </c:pt>
                <c:pt idx="5">
                  <c:v>-22</c:v>
                </c:pt>
                <c:pt idx="6">
                  <c:v>-20</c:v>
                </c:pt>
                <c:pt idx="7">
                  <c:v>-18</c:v>
                </c:pt>
                <c:pt idx="8">
                  <c:v>-16</c:v>
                </c:pt>
                <c:pt idx="9">
                  <c:v>-14</c:v>
                </c:pt>
                <c:pt idx="10">
                  <c:v>-12</c:v>
                </c:pt>
                <c:pt idx="11">
                  <c:v>-10</c:v>
                </c:pt>
                <c:pt idx="12">
                  <c:v>-8</c:v>
                </c:pt>
                <c:pt idx="13">
                  <c:v>-6</c:v>
                </c:pt>
                <c:pt idx="14">
                  <c:v>-4</c:v>
                </c:pt>
                <c:pt idx="15">
                  <c:v>-2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22</c:v>
                </c:pt>
              </c:numCache>
            </c:numRef>
          </c:xVal>
          <c:yVal>
            <c:numRef>
              <c:f>Polare!$C$5:$C$37</c:f>
              <c:numCache>
                <c:formatCode>0.00</c:formatCode>
                <c:ptCount val="33"/>
                <c:pt idx="8">
                  <c:v>-0.3</c:v>
                </c:pt>
                <c:pt idx="9">
                  <c:v>0</c:v>
                </c:pt>
                <c:pt idx="10">
                  <c:v>0.25</c:v>
                </c:pt>
                <c:pt idx="11">
                  <c:v>0.5</c:v>
                </c:pt>
                <c:pt idx="12">
                  <c:v>0.75</c:v>
                </c:pt>
                <c:pt idx="13">
                  <c:v>1</c:v>
                </c:pt>
                <c:pt idx="14">
                  <c:v>1.25</c:v>
                </c:pt>
                <c:pt idx="15">
                  <c:v>1.45</c:v>
                </c:pt>
                <c:pt idx="16">
                  <c:v>1.66</c:v>
                </c:pt>
                <c:pt idx="17">
                  <c:v>1.87</c:v>
                </c:pt>
                <c:pt idx="18">
                  <c:v>2.08</c:v>
                </c:pt>
                <c:pt idx="19">
                  <c:v>2.2599999999999998</c:v>
                </c:pt>
                <c:pt idx="20">
                  <c:v>2.35</c:v>
                </c:pt>
                <c:pt idx="21">
                  <c:v>2.4300000000000002</c:v>
                </c:pt>
                <c:pt idx="22">
                  <c:v>2.52</c:v>
                </c:pt>
                <c:pt idx="23">
                  <c:v>2.57</c:v>
                </c:pt>
                <c:pt idx="24">
                  <c:v>2.6</c:v>
                </c:pt>
                <c:pt idx="25">
                  <c:v>2.5299999999999998</c:v>
                </c:pt>
                <c:pt idx="26">
                  <c:v>2.4500000000000002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20-4242-AEBD-616222F59B9E}"/>
            </c:ext>
          </c:extLst>
        </c:ser>
        <c:ser>
          <c:idx val="1"/>
          <c:order val="1"/>
          <c:tx>
            <c:strRef>
              <c:f>Polare!$D$3</c:f>
              <c:strCache>
                <c:ptCount val="1"/>
                <c:pt idx="0">
                  <c:v>CL2</c:v>
                </c:pt>
              </c:strCache>
            </c:strRef>
          </c:tx>
          <c:spPr>
            <a:ln w="254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</c:marker>
          <c:xVal>
            <c:numRef>
              <c:f>Polare!$B$5:$B$37</c:f>
              <c:numCache>
                <c:formatCode>General</c:formatCode>
                <c:ptCount val="33"/>
                <c:pt idx="0">
                  <c:v>-32</c:v>
                </c:pt>
                <c:pt idx="1">
                  <c:v>-30</c:v>
                </c:pt>
                <c:pt idx="2">
                  <c:v>-28</c:v>
                </c:pt>
                <c:pt idx="3">
                  <c:v>-26</c:v>
                </c:pt>
                <c:pt idx="4">
                  <c:v>-24</c:v>
                </c:pt>
                <c:pt idx="5">
                  <c:v>-22</c:v>
                </c:pt>
                <c:pt idx="6">
                  <c:v>-20</c:v>
                </c:pt>
                <c:pt idx="7">
                  <c:v>-18</c:v>
                </c:pt>
                <c:pt idx="8">
                  <c:v>-16</c:v>
                </c:pt>
                <c:pt idx="9">
                  <c:v>-14</c:v>
                </c:pt>
                <c:pt idx="10">
                  <c:v>-12</c:v>
                </c:pt>
                <c:pt idx="11">
                  <c:v>-10</c:v>
                </c:pt>
                <c:pt idx="12">
                  <c:v>-8</c:v>
                </c:pt>
                <c:pt idx="13">
                  <c:v>-6</c:v>
                </c:pt>
                <c:pt idx="14">
                  <c:v>-4</c:v>
                </c:pt>
                <c:pt idx="15">
                  <c:v>-2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22</c:v>
                </c:pt>
              </c:numCache>
            </c:numRef>
          </c:xVal>
          <c:yVal>
            <c:numRef>
              <c:f>Polare!$D$5:$D$37</c:f>
              <c:numCache>
                <c:formatCode>0.00</c:formatCode>
                <c:ptCount val="33"/>
                <c:pt idx="10">
                  <c:v>0.2</c:v>
                </c:pt>
                <c:pt idx="11">
                  <c:v>0.45</c:v>
                </c:pt>
                <c:pt idx="12">
                  <c:v>0.7</c:v>
                </c:pt>
                <c:pt idx="13">
                  <c:v>0.94</c:v>
                </c:pt>
                <c:pt idx="14">
                  <c:v>1.1850000000000001</c:v>
                </c:pt>
                <c:pt idx="15">
                  <c:v>1.38</c:v>
                </c:pt>
                <c:pt idx="16">
                  <c:v>1.6</c:v>
                </c:pt>
                <c:pt idx="17">
                  <c:v>1.81</c:v>
                </c:pt>
                <c:pt idx="18">
                  <c:v>2.02</c:v>
                </c:pt>
                <c:pt idx="19">
                  <c:v>2.17</c:v>
                </c:pt>
                <c:pt idx="20">
                  <c:v>2.1</c:v>
                </c:pt>
                <c:pt idx="21">
                  <c:v>1.96</c:v>
                </c:pt>
                <c:pt idx="22">
                  <c:v>1.86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A20-4242-AEBD-616222F59B9E}"/>
            </c:ext>
          </c:extLst>
        </c:ser>
        <c:ser>
          <c:idx val="2"/>
          <c:order val="2"/>
          <c:tx>
            <c:strRef>
              <c:f>Polare!$E$3</c:f>
              <c:strCache>
                <c:ptCount val="1"/>
                <c:pt idx="0">
                  <c:v>CL3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dPt>
            <c:idx val="12"/>
            <c:marker>
              <c:symbol val="square"/>
              <c:size val="6"/>
              <c:spPr>
                <a:solidFill>
                  <a:schemeClr val="accent4">
                    <a:lumMod val="7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A20-4242-AEBD-616222F59B9E}"/>
              </c:ext>
            </c:extLst>
          </c:dPt>
          <c:xVal>
            <c:numRef>
              <c:f>Polare!$B$5:$B$42</c:f>
              <c:numCache>
                <c:formatCode>General</c:formatCode>
                <c:ptCount val="38"/>
                <c:pt idx="0">
                  <c:v>-32</c:v>
                </c:pt>
                <c:pt idx="1">
                  <c:v>-30</c:v>
                </c:pt>
                <c:pt idx="2">
                  <c:v>-28</c:v>
                </c:pt>
                <c:pt idx="3">
                  <c:v>-26</c:v>
                </c:pt>
                <c:pt idx="4">
                  <c:v>-24</c:v>
                </c:pt>
                <c:pt idx="5">
                  <c:v>-22</c:v>
                </c:pt>
                <c:pt idx="6">
                  <c:v>-20</c:v>
                </c:pt>
                <c:pt idx="7">
                  <c:v>-18</c:v>
                </c:pt>
                <c:pt idx="8">
                  <c:v>-16</c:v>
                </c:pt>
                <c:pt idx="9">
                  <c:v>-14</c:v>
                </c:pt>
                <c:pt idx="10">
                  <c:v>-12</c:v>
                </c:pt>
                <c:pt idx="11">
                  <c:v>-10</c:v>
                </c:pt>
                <c:pt idx="12">
                  <c:v>-8</c:v>
                </c:pt>
                <c:pt idx="13">
                  <c:v>-6</c:v>
                </c:pt>
                <c:pt idx="14">
                  <c:v>-4</c:v>
                </c:pt>
                <c:pt idx="15">
                  <c:v>-2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22</c:v>
                </c:pt>
                <c:pt idx="33">
                  <c:v>24</c:v>
                </c:pt>
                <c:pt idx="34">
                  <c:v>26</c:v>
                </c:pt>
                <c:pt idx="35">
                  <c:v>28</c:v>
                </c:pt>
                <c:pt idx="36">
                  <c:v>30</c:v>
                </c:pt>
                <c:pt idx="37">
                  <c:v>32</c:v>
                </c:pt>
              </c:numCache>
            </c:numRef>
          </c:xVal>
          <c:yVal>
            <c:numRef>
              <c:f>Polare!$E$5:$E$42</c:f>
              <c:numCache>
                <c:formatCode>0.00</c:formatCode>
                <c:ptCount val="38"/>
                <c:pt idx="11">
                  <c:v>-0.8</c:v>
                </c:pt>
                <c:pt idx="12">
                  <c:v>-0.55000000000000004</c:v>
                </c:pt>
                <c:pt idx="13">
                  <c:v>-0.32</c:v>
                </c:pt>
                <c:pt idx="14">
                  <c:v>-0.11</c:v>
                </c:pt>
                <c:pt idx="15">
                  <c:v>0.1</c:v>
                </c:pt>
                <c:pt idx="16">
                  <c:v>0.32</c:v>
                </c:pt>
                <c:pt idx="17">
                  <c:v>0.55000000000000004</c:v>
                </c:pt>
                <c:pt idx="18">
                  <c:v>0.76500000000000001</c:v>
                </c:pt>
                <c:pt idx="19">
                  <c:v>0.95</c:v>
                </c:pt>
                <c:pt idx="20">
                  <c:v>1.05</c:v>
                </c:pt>
                <c:pt idx="21">
                  <c:v>1.1499999999999999</c:v>
                </c:pt>
                <c:pt idx="22">
                  <c:v>1.25</c:v>
                </c:pt>
                <c:pt idx="23">
                  <c:v>1.34</c:v>
                </c:pt>
                <c:pt idx="24">
                  <c:v>1.43</c:v>
                </c:pt>
                <c:pt idx="25">
                  <c:v>1.49</c:v>
                </c:pt>
                <c:pt idx="26">
                  <c:v>1.53</c:v>
                </c:pt>
                <c:pt idx="27">
                  <c:v>1.58</c:v>
                </c:pt>
                <c:pt idx="28">
                  <c:v>1.61</c:v>
                </c:pt>
                <c:pt idx="29">
                  <c:v>1.595</c:v>
                </c:pt>
                <c:pt idx="30">
                  <c:v>1.56</c:v>
                </c:pt>
                <c:pt idx="31">
                  <c:v>1.46</c:v>
                </c:pt>
                <c:pt idx="32">
                  <c:v>1.1599999999999999</c:v>
                </c:pt>
                <c:pt idx="33" formatCode="General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4A20-4242-AEBD-616222F59B9E}"/>
            </c:ext>
          </c:extLst>
        </c:ser>
        <c:ser>
          <c:idx val="3"/>
          <c:order val="3"/>
          <c:tx>
            <c:strRef>
              <c:f>Polare!$F$3</c:f>
              <c:strCache>
                <c:ptCount val="1"/>
                <c:pt idx="0">
                  <c:v>CL4</c:v>
                </c:pt>
              </c:strCache>
            </c:strRef>
          </c:tx>
          <c:spPr>
            <a:ln w="254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Polare!$B$5:$B$42</c:f>
              <c:numCache>
                <c:formatCode>General</c:formatCode>
                <c:ptCount val="38"/>
                <c:pt idx="0">
                  <c:v>-32</c:v>
                </c:pt>
                <c:pt idx="1">
                  <c:v>-30</c:v>
                </c:pt>
                <c:pt idx="2">
                  <c:v>-28</c:v>
                </c:pt>
                <c:pt idx="3">
                  <c:v>-26</c:v>
                </c:pt>
                <c:pt idx="4">
                  <c:v>-24</c:v>
                </c:pt>
                <c:pt idx="5">
                  <c:v>-22</c:v>
                </c:pt>
                <c:pt idx="6">
                  <c:v>-20</c:v>
                </c:pt>
                <c:pt idx="7">
                  <c:v>-18</c:v>
                </c:pt>
                <c:pt idx="8">
                  <c:v>-16</c:v>
                </c:pt>
                <c:pt idx="9">
                  <c:v>-14</c:v>
                </c:pt>
                <c:pt idx="10">
                  <c:v>-12</c:v>
                </c:pt>
                <c:pt idx="11">
                  <c:v>-10</c:v>
                </c:pt>
                <c:pt idx="12">
                  <c:v>-8</c:v>
                </c:pt>
                <c:pt idx="13">
                  <c:v>-6</c:v>
                </c:pt>
                <c:pt idx="14">
                  <c:v>-4</c:v>
                </c:pt>
                <c:pt idx="15">
                  <c:v>-2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22</c:v>
                </c:pt>
                <c:pt idx="33">
                  <c:v>24</c:v>
                </c:pt>
                <c:pt idx="34">
                  <c:v>26</c:v>
                </c:pt>
                <c:pt idx="35">
                  <c:v>28</c:v>
                </c:pt>
                <c:pt idx="36">
                  <c:v>30</c:v>
                </c:pt>
                <c:pt idx="37">
                  <c:v>32</c:v>
                </c:pt>
              </c:numCache>
            </c:numRef>
          </c:xVal>
          <c:yVal>
            <c:numRef>
              <c:f>Polare!$F$5:$F$42</c:f>
              <c:numCache>
                <c:formatCode>0.00</c:formatCode>
                <c:ptCount val="38"/>
                <c:pt idx="10">
                  <c:v>-1.06</c:v>
                </c:pt>
                <c:pt idx="11">
                  <c:v>-0.82000000000000006</c:v>
                </c:pt>
                <c:pt idx="12">
                  <c:v>-0.57000000000000006</c:v>
                </c:pt>
                <c:pt idx="13">
                  <c:v>-0.34</c:v>
                </c:pt>
                <c:pt idx="14">
                  <c:v>-0.13</c:v>
                </c:pt>
                <c:pt idx="15">
                  <c:v>0.08</c:v>
                </c:pt>
                <c:pt idx="16">
                  <c:v>0.3</c:v>
                </c:pt>
                <c:pt idx="17">
                  <c:v>0.53</c:v>
                </c:pt>
                <c:pt idx="18">
                  <c:v>0.745</c:v>
                </c:pt>
                <c:pt idx="19">
                  <c:v>0.91999999999999993</c:v>
                </c:pt>
                <c:pt idx="20">
                  <c:v>1</c:v>
                </c:pt>
                <c:pt idx="21">
                  <c:v>1.05</c:v>
                </c:pt>
                <c:pt idx="22">
                  <c:v>1.1200000000000001</c:v>
                </c:pt>
                <c:pt idx="23">
                  <c:v>1.18</c:v>
                </c:pt>
                <c:pt idx="24">
                  <c:v>1.21</c:v>
                </c:pt>
                <c:pt idx="25">
                  <c:v>1.23</c:v>
                </c:pt>
                <c:pt idx="26">
                  <c:v>1.24</c:v>
                </c:pt>
                <c:pt idx="27">
                  <c:v>1.23</c:v>
                </c:pt>
                <c:pt idx="28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4A20-4242-AEBD-616222F59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2"/>
          <c:min val="-3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rnd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8"/>
        <c:minorUnit val="2"/>
      </c:valAx>
      <c:valAx>
        <c:axId val="1903764864"/>
        <c:scaling>
          <c:orientation val="minMax"/>
          <c:max val="3.6"/>
          <c:min val="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0.4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786164</xdr:colOff>
      <xdr:row>1</xdr:row>
      <xdr:rowOff>2</xdr:rowOff>
    </xdr:from>
    <xdr:to>
      <xdr:col>31</xdr:col>
      <xdr:colOff>242825</xdr:colOff>
      <xdr:row>47</xdr:row>
      <xdr:rowOff>6626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3E40B1B-DCF2-501B-AEC9-FFFB9A952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771373</xdr:colOff>
      <xdr:row>19</xdr:row>
      <xdr:rowOff>58780</xdr:rowOff>
    </xdr:from>
    <xdr:to>
      <xdr:col>24</xdr:col>
      <xdr:colOff>289588</xdr:colOff>
      <xdr:row>29</xdr:row>
      <xdr:rowOff>88786</xdr:rowOff>
    </xdr:to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4CDA9883-DFD1-A55C-4B6D-52E7750782EA}"/>
            </a:ext>
          </a:extLst>
        </xdr:cNvPr>
        <xdr:cNvSpPr txBox="1"/>
      </xdr:nvSpPr>
      <xdr:spPr>
        <a:xfrm rot="16200000">
          <a:off x="17458772" y="4635664"/>
          <a:ext cx="2002241" cy="3071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Section lift coefficient </a:t>
          </a:r>
          <a:r>
            <a:rPr lang="de-DE" sz="1100" i="1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C</a:t>
          </a:r>
          <a:r>
            <a:rPr lang="de-DE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L</a:t>
          </a:r>
          <a:endParaRPr lang="el-GR" sz="1100" baseline="-25000">
            <a:solidFill>
              <a:sysClr val="windowText" lastClr="000000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xdr:txBody>
    </xdr:sp>
    <xdr:clientData/>
  </xdr:twoCellAnchor>
  <xdr:twoCellAnchor>
    <xdr:from>
      <xdr:col>23</xdr:col>
      <xdr:colOff>72321</xdr:colOff>
      <xdr:row>45</xdr:row>
      <xdr:rowOff>67048</xdr:rowOff>
    </xdr:from>
    <xdr:to>
      <xdr:col>29</xdr:col>
      <xdr:colOff>19770</xdr:colOff>
      <xdr:row>46</xdr:row>
      <xdr:rowOff>103459</xdr:rowOff>
    </xdr:to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DAAC2F2E-55A2-A09C-6D03-0C1627DC260D}"/>
            </a:ext>
          </a:extLst>
        </xdr:cNvPr>
        <xdr:cNvSpPr txBox="1"/>
      </xdr:nvSpPr>
      <xdr:spPr>
        <a:xfrm>
          <a:off x="17607286" y="8870389"/>
          <a:ext cx="4680813" cy="215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0" baseline="0">
              <a:solidFill>
                <a:schemeClr val="dk1"/>
              </a:solidFill>
              <a:effectLst/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NACA 65</a:t>
          </a:r>
          <a:r>
            <a:rPr lang="de-DE" sz="1100" b="0" i="0" baseline="-25000">
              <a:solidFill>
                <a:schemeClr val="dk1"/>
              </a:solidFill>
              <a:effectLst/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2</a:t>
          </a:r>
          <a:r>
            <a:rPr lang="de-DE" sz="1100" b="0" i="0" baseline="0">
              <a:solidFill>
                <a:schemeClr val="dk1"/>
              </a:solidFill>
              <a:effectLst/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-415 Wing Section                    </a:t>
          </a:r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Section angle</a:t>
          </a:r>
          <a:r>
            <a:rPr lang="de-DE" sz="1100" baseline="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of attack</a:t>
          </a:r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</a:t>
          </a:r>
          <a:r>
            <a:rPr lang="de-DE" sz="1100" i="1">
              <a:solidFill>
                <a:sysClr val="windowText" lastClr="000000"/>
              </a:solidFill>
              <a:latin typeface="Latin Modern Math" panose="02000503000000000000" pitchFamily="50" charset="0"/>
              <a:ea typeface="Latin Modern Math" panose="02000503000000000000" pitchFamily="50" charset="0"/>
              <a:cs typeface="CMU Serif" panose="02000603000000000000" pitchFamily="2" charset="0"/>
            </a:rPr>
            <a:t>α</a:t>
          </a:r>
          <a:r>
            <a:rPr lang="el-GR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 [</a:t>
          </a:r>
          <a:r>
            <a:rPr lang="el-GR" sz="5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</a:t>
          </a:r>
          <a:r>
            <a:rPr lang="el-GR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°</a:t>
          </a:r>
          <a:r>
            <a:rPr lang="el-GR" sz="5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</a:t>
          </a:r>
          <a:r>
            <a:rPr lang="el-GR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]</a:t>
          </a:r>
        </a:p>
      </xdr:txBody>
    </xdr:sp>
    <xdr:clientData/>
  </xdr:twoCellAnchor>
  <xdr:twoCellAnchor>
    <xdr:from>
      <xdr:col>23</xdr:col>
      <xdr:colOff>304983</xdr:colOff>
      <xdr:row>24</xdr:row>
      <xdr:rowOff>136625</xdr:rowOff>
    </xdr:from>
    <xdr:to>
      <xdr:col>23</xdr:col>
      <xdr:colOff>766292</xdr:colOff>
      <xdr:row>44</xdr:row>
      <xdr:rowOff>125294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DF61B8A9-2D8E-80C1-B07B-6AFD801BF8A5}"/>
            </a:ext>
          </a:extLst>
        </xdr:cNvPr>
        <xdr:cNvGrpSpPr/>
      </xdr:nvGrpSpPr>
      <xdr:grpSpPr>
        <a:xfrm>
          <a:off x="17839948" y="4852060"/>
          <a:ext cx="461309" cy="3897281"/>
          <a:chOff x="12446314" y="4894155"/>
          <a:chExt cx="461309" cy="3871556"/>
        </a:xfrm>
      </xdr:grpSpPr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58005A98-1CD3-4BF5-A5E7-ECBEBBB875D4}"/>
              </a:ext>
            </a:extLst>
          </xdr:cNvPr>
          <xdr:cNvSpPr txBox="1"/>
        </xdr:nvSpPr>
        <xdr:spPr>
          <a:xfrm>
            <a:off x="12446314" y="8452365"/>
            <a:ext cx="461304" cy="313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-0,5</a:t>
            </a:r>
            <a:endParaRPr lang="el-GR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7" name="Textfeld 26">
            <a:extLst>
              <a:ext uri="{FF2B5EF4-FFF2-40B4-BE49-F238E27FC236}">
                <a16:creationId xmlns:a16="http://schemas.microsoft.com/office/drawing/2014/main" id="{04A691CC-7D02-4D6F-AF49-765287B580A4}"/>
              </a:ext>
            </a:extLst>
          </xdr:cNvPr>
          <xdr:cNvSpPr txBox="1"/>
        </xdr:nvSpPr>
        <xdr:spPr>
          <a:xfrm>
            <a:off x="12446315" y="7856017"/>
            <a:ext cx="461304" cy="313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-0,4</a:t>
            </a:r>
            <a:endParaRPr lang="el-GR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8" name="Textfeld 27">
            <a:extLst>
              <a:ext uri="{FF2B5EF4-FFF2-40B4-BE49-F238E27FC236}">
                <a16:creationId xmlns:a16="http://schemas.microsoft.com/office/drawing/2014/main" id="{0061D6F1-8552-4252-9F8C-F2EDA0A18BE1}"/>
              </a:ext>
            </a:extLst>
          </xdr:cNvPr>
          <xdr:cNvSpPr txBox="1"/>
        </xdr:nvSpPr>
        <xdr:spPr>
          <a:xfrm>
            <a:off x="12446318" y="7266295"/>
            <a:ext cx="461304" cy="313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-0,3</a:t>
            </a:r>
            <a:endParaRPr lang="el-GR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9" name="Textfeld 28">
            <a:extLst>
              <a:ext uri="{FF2B5EF4-FFF2-40B4-BE49-F238E27FC236}">
                <a16:creationId xmlns:a16="http://schemas.microsoft.com/office/drawing/2014/main" id="{9687F6E5-F359-4531-8F8A-D3D6660A5070}"/>
              </a:ext>
            </a:extLst>
          </xdr:cNvPr>
          <xdr:cNvSpPr txBox="1"/>
        </xdr:nvSpPr>
        <xdr:spPr>
          <a:xfrm>
            <a:off x="12446316" y="6669947"/>
            <a:ext cx="461304" cy="313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-0,2</a:t>
            </a:r>
            <a:endParaRPr lang="el-GR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0" name="Textfeld 29">
            <a:extLst>
              <a:ext uri="{FF2B5EF4-FFF2-40B4-BE49-F238E27FC236}">
                <a16:creationId xmlns:a16="http://schemas.microsoft.com/office/drawing/2014/main" id="{57CB1566-7954-41F3-8939-CC8DD69A2728}"/>
              </a:ext>
            </a:extLst>
          </xdr:cNvPr>
          <xdr:cNvSpPr txBox="1"/>
        </xdr:nvSpPr>
        <xdr:spPr>
          <a:xfrm>
            <a:off x="12446317" y="6080225"/>
            <a:ext cx="461304" cy="313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-0,1</a:t>
            </a:r>
            <a:endParaRPr lang="el-GR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1" name="Textfeld 30">
            <a:extLst>
              <a:ext uri="{FF2B5EF4-FFF2-40B4-BE49-F238E27FC236}">
                <a16:creationId xmlns:a16="http://schemas.microsoft.com/office/drawing/2014/main" id="{9E416041-342B-40CF-8EB7-CA16ED06A046}"/>
              </a:ext>
            </a:extLst>
          </xdr:cNvPr>
          <xdr:cNvSpPr txBox="1"/>
        </xdr:nvSpPr>
        <xdr:spPr>
          <a:xfrm>
            <a:off x="12446317" y="5483877"/>
            <a:ext cx="461304" cy="313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0,0</a:t>
            </a:r>
            <a:endParaRPr lang="el-GR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2" name="Textfeld 31">
            <a:extLst>
              <a:ext uri="{FF2B5EF4-FFF2-40B4-BE49-F238E27FC236}">
                <a16:creationId xmlns:a16="http://schemas.microsoft.com/office/drawing/2014/main" id="{08F91616-6A05-4E1E-BCC0-90CB1C2BFBF7}"/>
              </a:ext>
            </a:extLst>
          </xdr:cNvPr>
          <xdr:cNvSpPr txBox="1"/>
        </xdr:nvSpPr>
        <xdr:spPr>
          <a:xfrm>
            <a:off x="12446319" y="4894155"/>
            <a:ext cx="461304" cy="313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0,1</a:t>
            </a:r>
            <a:endParaRPr lang="el-GR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  <xdr:twoCellAnchor>
    <xdr:from>
      <xdr:col>23</xdr:col>
      <xdr:colOff>102141</xdr:colOff>
      <xdr:row>29</xdr:row>
      <xdr:rowOff>45528</xdr:rowOff>
    </xdr:from>
    <xdr:to>
      <xdr:col>23</xdr:col>
      <xdr:colOff>415487</xdr:colOff>
      <xdr:row>39</xdr:row>
      <xdr:rowOff>102038</xdr:rowOff>
    </xdr:to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DA50D4A-054F-4C29-912F-3644DF355A81}"/>
            </a:ext>
          </a:extLst>
        </xdr:cNvPr>
        <xdr:cNvSpPr txBox="1"/>
      </xdr:nvSpPr>
      <xdr:spPr>
        <a:xfrm rot="16200000">
          <a:off x="16779406" y="6604781"/>
          <a:ext cx="2028745" cy="313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Moment coefficient </a:t>
          </a:r>
          <a:r>
            <a:rPr lang="de-DE" sz="1100" i="1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C</a:t>
          </a:r>
          <a:r>
            <a:rPr lang="de-DE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M1/4</a:t>
          </a:r>
          <a:endParaRPr lang="el-GR" sz="1100" baseline="-25000">
            <a:solidFill>
              <a:sysClr val="windowText" lastClr="000000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xdr:txBody>
    </xdr:sp>
    <xdr:clientData/>
  </xdr:twoCellAnchor>
  <xdr:twoCellAnchor>
    <xdr:from>
      <xdr:col>26</xdr:col>
      <xdr:colOff>208749</xdr:colOff>
      <xdr:row>27</xdr:row>
      <xdr:rowOff>134981</xdr:rowOff>
    </xdr:from>
    <xdr:to>
      <xdr:col>26</xdr:col>
      <xdr:colOff>587573</xdr:colOff>
      <xdr:row>29</xdr:row>
      <xdr:rowOff>121919</xdr:rowOff>
    </xdr:to>
    <xdr:grpSp>
      <xdr:nvGrpSpPr>
        <xdr:cNvPr id="43" name="Gruppieren 42">
          <a:extLst>
            <a:ext uri="{FF2B5EF4-FFF2-40B4-BE49-F238E27FC236}">
              <a16:creationId xmlns:a16="http://schemas.microsoft.com/office/drawing/2014/main" id="{F94641CF-B66F-8FB3-E5D8-C634CFDAC72F}"/>
            </a:ext>
          </a:extLst>
        </xdr:cNvPr>
        <xdr:cNvGrpSpPr/>
      </xdr:nvGrpSpPr>
      <xdr:grpSpPr>
        <a:xfrm>
          <a:off x="20110396" y="5442087"/>
          <a:ext cx="378824" cy="381385"/>
          <a:chOff x="9231085" y="4101737"/>
          <a:chExt cx="378824" cy="387532"/>
        </a:xfrm>
      </xdr:grpSpPr>
      <xdr:sp macro="" textlink="">
        <xdr:nvSpPr>
          <xdr:cNvPr id="35" name="Ellipse 34">
            <a:extLst>
              <a:ext uri="{FF2B5EF4-FFF2-40B4-BE49-F238E27FC236}">
                <a16:creationId xmlns:a16="http://schemas.microsoft.com/office/drawing/2014/main" id="{E4EFE8B2-F7CF-BCB0-DB4A-754CAB3A866A}"/>
              </a:ext>
            </a:extLst>
          </xdr:cNvPr>
          <xdr:cNvSpPr/>
        </xdr:nvSpPr>
        <xdr:spPr>
          <a:xfrm>
            <a:off x="9324230" y="4195449"/>
            <a:ext cx="198782" cy="200297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cxnSp macro="">
        <xdr:nvCxnSpPr>
          <xdr:cNvPr id="37" name="Gerader Verbinder 36">
            <a:extLst>
              <a:ext uri="{FF2B5EF4-FFF2-40B4-BE49-F238E27FC236}">
                <a16:creationId xmlns:a16="http://schemas.microsoft.com/office/drawing/2014/main" id="{A1E03791-FBD5-A055-C10B-12C34FBA3C9A}"/>
              </a:ext>
            </a:extLst>
          </xdr:cNvPr>
          <xdr:cNvCxnSpPr/>
        </xdr:nvCxnSpPr>
        <xdr:spPr>
          <a:xfrm>
            <a:off x="9422674" y="4101737"/>
            <a:ext cx="0" cy="387532"/>
          </a:xfrm>
          <a:prstGeom prst="line">
            <a:avLst/>
          </a:prstGeom>
          <a:ln w="25400" cap="rnd">
            <a:solidFill>
              <a:srgbClr val="FF0000"/>
            </a:solidFill>
            <a:round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Gerader Verbinder 39">
            <a:extLst>
              <a:ext uri="{FF2B5EF4-FFF2-40B4-BE49-F238E27FC236}">
                <a16:creationId xmlns:a16="http://schemas.microsoft.com/office/drawing/2014/main" id="{978F20E2-5680-4DC4-8D11-8D7FFAB79D77}"/>
              </a:ext>
            </a:extLst>
          </xdr:cNvPr>
          <xdr:cNvCxnSpPr/>
        </xdr:nvCxnSpPr>
        <xdr:spPr>
          <a:xfrm flipH="1">
            <a:off x="9231085" y="4293325"/>
            <a:ext cx="378824" cy="0"/>
          </a:xfrm>
          <a:prstGeom prst="line">
            <a:avLst/>
          </a:prstGeom>
          <a:ln w="25400" cap="rnd">
            <a:solidFill>
              <a:srgbClr val="FF0000"/>
            </a:solidFill>
            <a:round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770452</xdr:colOff>
      <xdr:row>21</xdr:row>
      <xdr:rowOff>121920</xdr:rowOff>
    </xdr:from>
    <xdr:to>
      <xdr:col>26</xdr:col>
      <xdr:colOff>330670</xdr:colOff>
      <xdr:row>25</xdr:row>
      <xdr:rowOff>182880</xdr:rowOff>
    </xdr:to>
    <xdr:sp macro="" textlink="">
      <xdr:nvSpPr>
        <xdr:cNvPr id="48" name="Rechteck: abgerundete Ecken 47">
          <a:extLst>
            <a:ext uri="{FF2B5EF4-FFF2-40B4-BE49-F238E27FC236}">
              <a16:creationId xmlns:a16="http://schemas.microsoft.com/office/drawing/2014/main" id="{8CE48536-0F8D-A527-6D90-6A2CBD5DD84C}"/>
            </a:ext>
          </a:extLst>
        </xdr:cNvPr>
        <xdr:cNvSpPr/>
      </xdr:nvSpPr>
      <xdr:spPr>
        <a:xfrm>
          <a:off x="19094311" y="4245685"/>
          <a:ext cx="1138006" cy="849854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24</xdr:col>
      <xdr:colOff>599724</xdr:colOff>
      <xdr:row>21</xdr:row>
      <xdr:rowOff>72348</xdr:rowOff>
    </xdr:from>
    <xdr:to>
      <xdr:col>26</xdr:col>
      <xdr:colOff>426464</xdr:colOff>
      <xdr:row>26</xdr:row>
      <xdr:rowOff>17416</xdr:rowOff>
    </xdr:to>
    <xdr:grpSp>
      <xdr:nvGrpSpPr>
        <xdr:cNvPr id="49" name="Gruppieren 48">
          <a:extLst>
            <a:ext uri="{FF2B5EF4-FFF2-40B4-BE49-F238E27FC236}">
              <a16:creationId xmlns:a16="http://schemas.microsoft.com/office/drawing/2014/main" id="{55B90A9F-DD68-D2E3-7974-C3750EEAB1CD}"/>
            </a:ext>
          </a:extLst>
        </xdr:cNvPr>
        <xdr:cNvGrpSpPr/>
      </xdr:nvGrpSpPr>
      <xdr:grpSpPr>
        <a:xfrm>
          <a:off x="18923583" y="4196113"/>
          <a:ext cx="1404528" cy="931185"/>
          <a:chOff x="14268083" y="4378737"/>
          <a:chExt cx="1411700" cy="946554"/>
        </a:xfrm>
      </xdr:grpSpPr>
      <xdr:sp macro="" textlink="">
        <xdr:nvSpPr>
          <xdr:cNvPr id="45" name="Textfeld 44">
            <a:extLst>
              <a:ext uri="{FF2B5EF4-FFF2-40B4-BE49-F238E27FC236}">
                <a16:creationId xmlns:a16="http://schemas.microsoft.com/office/drawing/2014/main" id="{F3D3BFA9-34B8-4B7C-96CE-0A337A6B948B}"/>
              </a:ext>
            </a:extLst>
          </xdr:cNvPr>
          <xdr:cNvSpPr txBox="1"/>
        </xdr:nvSpPr>
        <xdr:spPr>
          <a:xfrm>
            <a:off x="14455317" y="4378737"/>
            <a:ext cx="1050295" cy="5807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2400" i="1">
                <a:solidFill>
                  <a:srgbClr val="FF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α</a:t>
            </a:r>
            <a:r>
              <a:rPr lang="de-DE" sz="60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de-DE" sz="240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</a:t>
            </a:r>
            <a:r>
              <a:rPr lang="de-DE" sz="24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bei</a:t>
            </a:r>
            <a:endParaRPr lang="el-GR" sz="2400" baseline="-2500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47" name="Textfeld 46">
            <a:extLst>
              <a:ext uri="{FF2B5EF4-FFF2-40B4-BE49-F238E27FC236}">
                <a16:creationId xmlns:a16="http://schemas.microsoft.com/office/drawing/2014/main" id="{21811A26-4DF8-4983-9442-DC8DCBD01995}"/>
              </a:ext>
            </a:extLst>
          </xdr:cNvPr>
          <xdr:cNvSpPr txBox="1"/>
        </xdr:nvSpPr>
        <xdr:spPr>
          <a:xfrm>
            <a:off x="14268083" y="4744497"/>
            <a:ext cx="1411700" cy="5807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24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C</a:t>
            </a:r>
            <a:r>
              <a:rPr lang="de-DE" sz="2400" i="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</a:t>
            </a:r>
            <a:r>
              <a:rPr lang="de-DE" sz="2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</a:t>
            </a:r>
            <a:endParaRPr lang="el-GR" sz="2400" i="0" baseline="-2500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  <xdr:twoCellAnchor>
    <xdr:from>
      <xdr:col>26</xdr:col>
      <xdr:colOff>34578</xdr:colOff>
      <xdr:row>25</xdr:row>
      <xdr:rowOff>150879</xdr:rowOff>
    </xdr:from>
    <xdr:to>
      <xdr:col>26</xdr:col>
      <xdr:colOff>287127</xdr:colOff>
      <xdr:row>27</xdr:row>
      <xdr:rowOff>187233</xdr:rowOff>
    </xdr:to>
    <xdr:cxnSp macro="">
      <xdr:nvCxnSpPr>
        <xdr:cNvPr id="51" name="Gerade Verbindung mit Pfeil 50">
          <a:extLst>
            <a:ext uri="{FF2B5EF4-FFF2-40B4-BE49-F238E27FC236}">
              <a16:creationId xmlns:a16="http://schemas.microsoft.com/office/drawing/2014/main" id="{8E6EACA3-030A-5006-A316-7CC66F285378}"/>
            </a:ext>
          </a:extLst>
        </xdr:cNvPr>
        <xdr:cNvCxnSpPr/>
      </xdr:nvCxnSpPr>
      <xdr:spPr>
        <a:xfrm>
          <a:off x="19936225" y="5063538"/>
          <a:ext cx="252549" cy="430801"/>
        </a:xfrm>
        <a:prstGeom prst="straightConnector1">
          <a:avLst/>
        </a:prstGeom>
        <a:ln w="25400" cap="rnd">
          <a:solidFill>
            <a:srgbClr val="FF0000"/>
          </a:solidFill>
          <a:round/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520176</xdr:colOff>
      <xdr:row>8</xdr:row>
      <xdr:rowOff>42215</xdr:rowOff>
    </xdr:from>
    <xdr:to>
      <xdr:col>29</xdr:col>
      <xdr:colOff>103870</xdr:colOff>
      <xdr:row>10</xdr:row>
      <xdr:rowOff>29153</xdr:rowOff>
    </xdr:to>
    <xdr:grpSp>
      <xdr:nvGrpSpPr>
        <xdr:cNvPr id="64" name="Gruppieren 63">
          <a:extLst>
            <a:ext uri="{FF2B5EF4-FFF2-40B4-BE49-F238E27FC236}">
              <a16:creationId xmlns:a16="http://schemas.microsoft.com/office/drawing/2014/main" id="{6DEFB625-4B76-48A3-A963-709FD842E287}"/>
            </a:ext>
          </a:extLst>
        </xdr:cNvPr>
        <xdr:cNvGrpSpPr/>
      </xdr:nvGrpSpPr>
      <xdr:grpSpPr>
        <a:xfrm>
          <a:off x="21999611" y="1602074"/>
          <a:ext cx="372588" cy="381385"/>
          <a:chOff x="9231085" y="4101737"/>
          <a:chExt cx="378824" cy="387532"/>
        </a:xfrm>
      </xdr:grpSpPr>
      <xdr:sp macro="" textlink="">
        <xdr:nvSpPr>
          <xdr:cNvPr id="65" name="Ellipse 64">
            <a:extLst>
              <a:ext uri="{FF2B5EF4-FFF2-40B4-BE49-F238E27FC236}">
                <a16:creationId xmlns:a16="http://schemas.microsoft.com/office/drawing/2014/main" id="{5AE99A1C-CD70-B924-2674-4139072E2A03}"/>
              </a:ext>
            </a:extLst>
          </xdr:cNvPr>
          <xdr:cNvSpPr/>
        </xdr:nvSpPr>
        <xdr:spPr>
          <a:xfrm>
            <a:off x="9324230" y="4195449"/>
            <a:ext cx="198782" cy="200297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cxnSp macro="">
        <xdr:nvCxnSpPr>
          <xdr:cNvPr id="66" name="Gerader Verbinder 65">
            <a:extLst>
              <a:ext uri="{FF2B5EF4-FFF2-40B4-BE49-F238E27FC236}">
                <a16:creationId xmlns:a16="http://schemas.microsoft.com/office/drawing/2014/main" id="{AAD043E9-8C91-F48D-4212-A3E9B6C939E1}"/>
              </a:ext>
            </a:extLst>
          </xdr:cNvPr>
          <xdr:cNvCxnSpPr/>
        </xdr:nvCxnSpPr>
        <xdr:spPr>
          <a:xfrm>
            <a:off x="9422674" y="4101737"/>
            <a:ext cx="0" cy="387532"/>
          </a:xfrm>
          <a:prstGeom prst="line">
            <a:avLst/>
          </a:prstGeom>
          <a:ln w="25400" cap="rnd">
            <a:solidFill>
              <a:srgbClr val="FF0000"/>
            </a:solidFill>
            <a:round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Gerader Verbinder 66">
            <a:extLst>
              <a:ext uri="{FF2B5EF4-FFF2-40B4-BE49-F238E27FC236}">
                <a16:creationId xmlns:a16="http://schemas.microsoft.com/office/drawing/2014/main" id="{7BE54B43-3A46-8E5E-1B26-CE8E5C035B67}"/>
              </a:ext>
            </a:extLst>
          </xdr:cNvPr>
          <xdr:cNvCxnSpPr/>
        </xdr:nvCxnSpPr>
        <xdr:spPr>
          <a:xfrm flipH="1">
            <a:off x="9231085" y="4293325"/>
            <a:ext cx="378824" cy="0"/>
          </a:xfrm>
          <a:prstGeom prst="line">
            <a:avLst/>
          </a:prstGeom>
          <a:ln w="25400" cap="rnd">
            <a:solidFill>
              <a:srgbClr val="FF0000"/>
            </a:solidFill>
            <a:round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48842</xdr:colOff>
      <xdr:row>3</xdr:row>
      <xdr:rowOff>165463</xdr:rowOff>
    </xdr:from>
    <xdr:to>
      <xdr:col>28</xdr:col>
      <xdr:colOff>304545</xdr:colOff>
      <xdr:row>8</xdr:row>
      <xdr:rowOff>47897</xdr:rowOff>
    </xdr:to>
    <xdr:sp macro="" textlink="">
      <xdr:nvSpPr>
        <xdr:cNvPr id="68" name="Rechteck: abgerundete Ecken 67">
          <a:extLst>
            <a:ext uri="{FF2B5EF4-FFF2-40B4-BE49-F238E27FC236}">
              <a16:creationId xmlns:a16="http://schemas.microsoft.com/office/drawing/2014/main" id="{1DC00318-9DF6-4C81-9B61-A5AA01642163}"/>
            </a:ext>
          </a:extLst>
        </xdr:cNvPr>
        <xdr:cNvSpPr/>
      </xdr:nvSpPr>
      <xdr:spPr>
        <a:xfrm>
          <a:off x="19950489" y="739204"/>
          <a:ext cx="1833491" cy="868552"/>
        </a:xfrm>
        <a:prstGeom prst="roundRect">
          <a:avLst>
            <a:gd name="adj" fmla="val 1269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25</xdr:col>
      <xdr:colOff>731077</xdr:colOff>
      <xdr:row>3</xdr:row>
      <xdr:rowOff>105244</xdr:rowOff>
    </xdr:from>
    <xdr:to>
      <xdr:col>28</xdr:col>
      <xdr:colOff>374966</xdr:colOff>
      <xdr:row>8</xdr:row>
      <xdr:rowOff>119985</xdr:rowOff>
    </xdr:to>
    <xdr:grpSp>
      <xdr:nvGrpSpPr>
        <xdr:cNvPr id="74" name="Gruppieren 73">
          <a:extLst>
            <a:ext uri="{FF2B5EF4-FFF2-40B4-BE49-F238E27FC236}">
              <a16:creationId xmlns:a16="http://schemas.microsoft.com/office/drawing/2014/main" id="{71878059-DAB8-3A32-1C9B-C4242AF4D350}"/>
            </a:ext>
          </a:extLst>
        </xdr:cNvPr>
        <xdr:cNvGrpSpPr/>
      </xdr:nvGrpSpPr>
      <xdr:grpSpPr>
        <a:xfrm>
          <a:off x="19843830" y="678985"/>
          <a:ext cx="2010571" cy="1000859"/>
          <a:chOff x="9783143" y="1205977"/>
          <a:chExt cx="2021328" cy="1016227"/>
        </a:xfrm>
      </xdr:grpSpPr>
      <xdr:sp macro="" textlink="">
        <xdr:nvSpPr>
          <xdr:cNvPr id="70" name="Textfeld 69">
            <a:extLst>
              <a:ext uri="{FF2B5EF4-FFF2-40B4-BE49-F238E27FC236}">
                <a16:creationId xmlns:a16="http://schemas.microsoft.com/office/drawing/2014/main" id="{F1BD978E-F697-425E-E9BE-8CD16F2E0F5F}"/>
              </a:ext>
            </a:extLst>
          </xdr:cNvPr>
          <xdr:cNvSpPr txBox="1"/>
        </xdr:nvSpPr>
        <xdr:spPr>
          <a:xfrm>
            <a:off x="9783143" y="1205977"/>
            <a:ext cx="2021328" cy="5807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24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C</a:t>
            </a:r>
            <a:r>
              <a:rPr lang="de-DE" sz="2400" i="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</a:t>
            </a:r>
            <a:r>
              <a:rPr lang="de-DE" sz="2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und </a:t>
            </a:r>
            <a:r>
              <a:rPr lang="de-DE" sz="2400" i="1">
                <a:solidFill>
                  <a:srgbClr val="FF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α</a:t>
            </a:r>
            <a:r>
              <a:rPr lang="de-DE" sz="60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de-DE" sz="240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max</a:t>
            </a:r>
            <a:endParaRPr lang="el-GR" sz="2400" baseline="-2500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71" name="Textfeld 70">
            <a:extLst>
              <a:ext uri="{FF2B5EF4-FFF2-40B4-BE49-F238E27FC236}">
                <a16:creationId xmlns:a16="http://schemas.microsoft.com/office/drawing/2014/main" id="{2A394CA3-192A-4336-299C-E141CAC9DC40}"/>
              </a:ext>
            </a:extLst>
          </xdr:cNvPr>
          <xdr:cNvSpPr txBox="1"/>
        </xdr:nvSpPr>
        <xdr:spPr>
          <a:xfrm>
            <a:off x="9900357" y="1641410"/>
            <a:ext cx="1790899" cy="5807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2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mit Flaps</a:t>
            </a:r>
            <a:endParaRPr lang="el-GR" sz="2400" i="0" baseline="-2500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  <xdr:twoCellAnchor>
    <xdr:from>
      <xdr:col>28</xdr:col>
      <xdr:colOff>204396</xdr:colOff>
      <xdr:row>7</xdr:row>
      <xdr:rowOff>134983</xdr:rowOff>
    </xdr:from>
    <xdr:to>
      <xdr:col>28</xdr:col>
      <xdr:colOff>581137</xdr:colOff>
      <xdr:row>8</xdr:row>
      <xdr:rowOff>146718</xdr:rowOff>
    </xdr:to>
    <xdr:cxnSp macro="">
      <xdr:nvCxnSpPr>
        <xdr:cNvPr id="72" name="Gerade Verbindung mit Pfeil 71">
          <a:extLst>
            <a:ext uri="{FF2B5EF4-FFF2-40B4-BE49-F238E27FC236}">
              <a16:creationId xmlns:a16="http://schemas.microsoft.com/office/drawing/2014/main" id="{1ABC5A23-D5FD-49BF-B7BF-1F06E0EE5A1B}"/>
            </a:ext>
          </a:extLst>
        </xdr:cNvPr>
        <xdr:cNvCxnSpPr/>
      </xdr:nvCxnSpPr>
      <xdr:spPr>
        <a:xfrm>
          <a:off x="21683831" y="1497618"/>
          <a:ext cx="376741" cy="208959"/>
        </a:xfrm>
        <a:prstGeom prst="straightConnector1">
          <a:avLst/>
        </a:prstGeom>
        <a:ln w="25400" cap="rnd">
          <a:solidFill>
            <a:srgbClr val="FF0000"/>
          </a:solidFill>
          <a:round/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110601</xdr:colOff>
      <xdr:row>15</xdr:row>
      <xdr:rowOff>123593</xdr:rowOff>
    </xdr:from>
    <xdr:to>
      <xdr:col>29</xdr:col>
      <xdr:colOff>489425</xdr:colOff>
      <xdr:row>17</xdr:row>
      <xdr:rowOff>110531</xdr:rowOff>
    </xdr:to>
    <xdr:grpSp>
      <xdr:nvGrpSpPr>
        <xdr:cNvPr id="75" name="Gruppieren 74">
          <a:extLst>
            <a:ext uri="{FF2B5EF4-FFF2-40B4-BE49-F238E27FC236}">
              <a16:creationId xmlns:a16="http://schemas.microsoft.com/office/drawing/2014/main" id="{A7DE0AA1-3481-4558-A176-DA21A7B67046}"/>
            </a:ext>
          </a:extLst>
        </xdr:cNvPr>
        <xdr:cNvGrpSpPr/>
      </xdr:nvGrpSpPr>
      <xdr:grpSpPr>
        <a:xfrm>
          <a:off x="22378930" y="3064017"/>
          <a:ext cx="378824" cy="381385"/>
          <a:chOff x="9231085" y="4101737"/>
          <a:chExt cx="378824" cy="387532"/>
        </a:xfrm>
      </xdr:grpSpPr>
      <xdr:sp macro="" textlink="">
        <xdr:nvSpPr>
          <xdr:cNvPr id="76" name="Ellipse 75">
            <a:extLst>
              <a:ext uri="{FF2B5EF4-FFF2-40B4-BE49-F238E27FC236}">
                <a16:creationId xmlns:a16="http://schemas.microsoft.com/office/drawing/2014/main" id="{AC9CA072-ACF3-30B4-8BF3-2FB8BE2F7788}"/>
              </a:ext>
            </a:extLst>
          </xdr:cNvPr>
          <xdr:cNvSpPr/>
        </xdr:nvSpPr>
        <xdr:spPr>
          <a:xfrm>
            <a:off x="9324230" y="4195449"/>
            <a:ext cx="198782" cy="200297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cxnSp macro="">
        <xdr:nvCxnSpPr>
          <xdr:cNvPr id="77" name="Gerader Verbinder 76">
            <a:extLst>
              <a:ext uri="{FF2B5EF4-FFF2-40B4-BE49-F238E27FC236}">
                <a16:creationId xmlns:a16="http://schemas.microsoft.com/office/drawing/2014/main" id="{3B4FDEA2-36A4-49F7-8EBE-32DD86BBF392}"/>
              </a:ext>
            </a:extLst>
          </xdr:cNvPr>
          <xdr:cNvCxnSpPr/>
        </xdr:nvCxnSpPr>
        <xdr:spPr>
          <a:xfrm>
            <a:off x="9422674" y="4101737"/>
            <a:ext cx="0" cy="387532"/>
          </a:xfrm>
          <a:prstGeom prst="line">
            <a:avLst/>
          </a:prstGeom>
          <a:ln w="25400" cap="rnd">
            <a:solidFill>
              <a:srgbClr val="FF0000"/>
            </a:solidFill>
            <a:round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Gerader Verbinder 77">
            <a:extLst>
              <a:ext uri="{FF2B5EF4-FFF2-40B4-BE49-F238E27FC236}">
                <a16:creationId xmlns:a16="http://schemas.microsoft.com/office/drawing/2014/main" id="{4C90026F-EAAF-751E-78B4-938152F957BA}"/>
              </a:ext>
            </a:extLst>
          </xdr:cNvPr>
          <xdr:cNvCxnSpPr/>
        </xdr:nvCxnSpPr>
        <xdr:spPr>
          <a:xfrm flipH="1">
            <a:off x="9231085" y="4293325"/>
            <a:ext cx="378824" cy="0"/>
          </a:xfrm>
          <a:prstGeom prst="line">
            <a:avLst/>
          </a:prstGeom>
          <a:ln w="25400" cap="rnd">
            <a:solidFill>
              <a:srgbClr val="FF0000"/>
            </a:solidFill>
            <a:round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521808</xdr:colOff>
      <xdr:row>10</xdr:row>
      <xdr:rowOff>22507</xdr:rowOff>
    </xdr:from>
    <xdr:to>
      <xdr:col>31</xdr:col>
      <xdr:colOff>737269</xdr:colOff>
      <xdr:row>14</xdr:row>
      <xdr:rowOff>115614</xdr:rowOff>
    </xdr:to>
    <xdr:sp macro="" textlink="">
      <xdr:nvSpPr>
        <xdr:cNvPr id="79" name="Rechteck: abgerundete Ecken 78">
          <a:extLst>
            <a:ext uri="{FF2B5EF4-FFF2-40B4-BE49-F238E27FC236}">
              <a16:creationId xmlns:a16="http://schemas.microsoft.com/office/drawing/2014/main" id="{D9F90166-2049-453D-830D-37256B7E313F}"/>
            </a:ext>
          </a:extLst>
        </xdr:cNvPr>
        <xdr:cNvSpPr/>
      </xdr:nvSpPr>
      <xdr:spPr>
        <a:xfrm>
          <a:off x="22790137" y="1976813"/>
          <a:ext cx="1793250" cy="88200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29</xdr:col>
      <xdr:colOff>394896</xdr:colOff>
      <xdr:row>14</xdr:row>
      <xdr:rowOff>73573</xdr:rowOff>
    </xdr:from>
    <xdr:to>
      <xdr:col>29</xdr:col>
      <xdr:colOff>587985</xdr:colOff>
      <xdr:row>15</xdr:row>
      <xdr:rowOff>182880</xdr:rowOff>
    </xdr:to>
    <xdr:cxnSp macro="">
      <xdr:nvCxnSpPr>
        <xdr:cNvPr id="83" name="Gerade Verbindung mit Pfeil 82">
          <a:extLst>
            <a:ext uri="{FF2B5EF4-FFF2-40B4-BE49-F238E27FC236}">
              <a16:creationId xmlns:a16="http://schemas.microsoft.com/office/drawing/2014/main" id="{C30B366E-F6DE-49F4-A0B1-CBF462A2E2A3}"/>
            </a:ext>
          </a:extLst>
        </xdr:cNvPr>
        <xdr:cNvCxnSpPr/>
      </xdr:nvCxnSpPr>
      <xdr:spPr>
        <a:xfrm flipH="1">
          <a:off x="22663225" y="2816773"/>
          <a:ext cx="193089" cy="306531"/>
        </a:xfrm>
        <a:prstGeom prst="straightConnector1">
          <a:avLst/>
        </a:prstGeom>
        <a:ln w="25400" cap="rnd">
          <a:solidFill>
            <a:srgbClr val="FF0000"/>
          </a:solidFill>
          <a:round/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378456</xdr:colOff>
      <xdr:row>9</xdr:row>
      <xdr:rowOff>163576</xdr:rowOff>
    </xdr:from>
    <xdr:to>
      <xdr:col>32</xdr:col>
      <xdr:colOff>22343</xdr:colOff>
      <xdr:row>14</xdr:row>
      <xdr:rowOff>178317</xdr:rowOff>
    </xdr:to>
    <xdr:grpSp>
      <xdr:nvGrpSpPr>
        <xdr:cNvPr id="86" name="Gruppieren 85">
          <a:extLst>
            <a:ext uri="{FF2B5EF4-FFF2-40B4-BE49-F238E27FC236}">
              <a16:creationId xmlns:a16="http://schemas.microsoft.com/office/drawing/2014/main" id="{F8644D5A-E963-491B-ADB1-4AB71DC310F2}"/>
            </a:ext>
          </a:extLst>
        </xdr:cNvPr>
        <xdr:cNvGrpSpPr/>
      </xdr:nvGrpSpPr>
      <xdr:grpSpPr>
        <a:xfrm>
          <a:off x="22646785" y="1920658"/>
          <a:ext cx="2010570" cy="1000859"/>
          <a:chOff x="9783143" y="1205977"/>
          <a:chExt cx="2021328" cy="1016227"/>
        </a:xfrm>
      </xdr:grpSpPr>
      <xdr:sp macro="" textlink="">
        <xdr:nvSpPr>
          <xdr:cNvPr id="87" name="Textfeld 86">
            <a:extLst>
              <a:ext uri="{FF2B5EF4-FFF2-40B4-BE49-F238E27FC236}">
                <a16:creationId xmlns:a16="http://schemas.microsoft.com/office/drawing/2014/main" id="{BF7B4BA3-0CAC-8AEF-D266-E395D751814D}"/>
              </a:ext>
            </a:extLst>
          </xdr:cNvPr>
          <xdr:cNvSpPr txBox="1"/>
        </xdr:nvSpPr>
        <xdr:spPr>
          <a:xfrm>
            <a:off x="9783143" y="1205977"/>
            <a:ext cx="2021328" cy="5807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24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C</a:t>
            </a:r>
            <a:r>
              <a:rPr lang="de-DE" sz="2400" i="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</a:t>
            </a:r>
            <a:r>
              <a:rPr lang="de-DE" sz="2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und </a:t>
            </a:r>
            <a:r>
              <a:rPr lang="de-DE" sz="2400" i="1">
                <a:solidFill>
                  <a:srgbClr val="FF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α</a:t>
            </a:r>
            <a:r>
              <a:rPr lang="de-DE" sz="60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de-DE" sz="2400" baseline="-250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max</a:t>
            </a:r>
            <a:endParaRPr lang="el-GR" sz="2400" baseline="-2500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88" name="Textfeld 87">
            <a:extLst>
              <a:ext uri="{FF2B5EF4-FFF2-40B4-BE49-F238E27FC236}">
                <a16:creationId xmlns:a16="http://schemas.microsoft.com/office/drawing/2014/main" id="{0AF96216-7123-F4E3-8EAC-642B7C50C7B6}"/>
              </a:ext>
            </a:extLst>
          </xdr:cNvPr>
          <xdr:cNvSpPr txBox="1"/>
        </xdr:nvSpPr>
        <xdr:spPr>
          <a:xfrm>
            <a:off x="9900357" y="1641410"/>
            <a:ext cx="1790899" cy="5807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2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ohne Flaps</a:t>
            </a:r>
            <a:endParaRPr lang="el-GR" sz="2400" i="0" baseline="-2500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illip\Documents\Git\Project-FoSa\B.Sc.%20LRT\Str&#246;mungslehre%202\images\SL2-Diagrams.xlsx" TargetMode="External"/><Relationship Id="rId1" Type="http://schemas.openxmlformats.org/officeDocument/2006/relationships/externalLinkPath" Target="/Users/Phillip/Documents/Git/Project-FoSa/B.Sc.%20LRT/Str&#246;mungslehre%202/images/SL2-Diagra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iabate-Vorgänge"/>
      <sheetName val="xliv"/>
      <sheetName val="xlv"/>
      <sheetName val="xlvi"/>
      <sheetName val="xlvii"/>
      <sheetName val="xlviii"/>
    </sheetNames>
    <sheetDataSet>
      <sheetData sheetId="0"/>
      <sheetData sheetId="1">
        <row r="3">
          <cell r="D3">
            <v>1.1000000000000001</v>
          </cell>
          <cell r="F3">
            <v>1.2</v>
          </cell>
          <cell r="H3">
            <v>1.3</v>
          </cell>
          <cell r="J3">
            <v>1.4</v>
          </cell>
          <cell r="L3">
            <v>1.5</v>
          </cell>
          <cell r="N3">
            <v>1.6</v>
          </cell>
          <cell r="P3">
            <v>1.7</v>
          </cell>
          <cell r="R3">
            <v>1.8</v>
          </cell>
          <cell r="T3">
            <v>1.9</v>
          </cell>
          <cell r="V3">
            <v>2</v>
          </cell>
          <cell r="X3">
            <v>2.1</v>
          </cell>
          <cell r="Z3">
            <v>2.2000000000000002</v>
          </cell>
          <cell r="AB3">
            <v>2.2999999999999998</v>
          </cell>
          <cell r="AD3">
            <v>2.4</v>
          </cell>
          <cell r="AF3">
            <v>3</v>
          </cell>
          <cell r="AH3">
            <v>4</v>
          </cell>
          <cell r="AJ3">
            <v>5</v>
          </cell>
          <cell r="AL3">
            <v>10</v>
          </cell>
          <cell r="AN3">
            <v>100000</v>
          </cell>
        </row>
        <row r="5">
          <cell r="B5">
            <v>0</v>
          </cell>
          <cell r="AO5">
            <v>0</v>
          </cell>
        </row>
        <row r="6">
          <cell r="B6">
            <v>2</v>
          </cell>
          <cell r="AO6">
            <v>1.6665348434575749</v>
          </cell>
        </row>
        <row r="7">
          <cell r="B7">
            <v>4</v>
          </cell>
          <cell r="AM7">
            <v>-3.486309017948066</v>
          </cell>
          <cell r="AO7">
            <v>3.3322782952338765</v>
          </cell>
        </row>
        <row r="8">
          <cell r="B8">
            <v>6</v>
          </cell>
          <cell r="AM8">
            <v>0.42106901847520128</v>
          </cell>
          <cell r="AO8">
            <v>4.9964310819001581</v>
          </cell>
        </row>
        <row r="9">
          <cell r="B9">
            <v>8</v>
          </cell>
          <cell r="AM9">
            <v>3.2047195764508332</v>
          </cell>
          <cell r="AO9">
            <v>6.6581792172359293</v>
          </cell>
        </row>
        <row r="10">
          <cell r="B10">
            <v>10</v>
          </cell>
          <cell r="AK10">
            <v>-2.6426464548832755</v>
          </cell>
          <cell r="AM10">
            <v>5.5332450743137347</v>
          </cell>
          <cell r="AO10">
            <v>8.3166858207722125</v>
          </cell>
        </row>
        <row r="11">
          <cell r="B11">
            <v>12</v>
          </cell>
          <cell r="AK11">
            <v>0.72685635637554979</v>
          </cell>
          <cell r="AM11">
            <v>7.6309387320950712</v>
          </cell>
          <cell r="AO11">
            <v>9.971082813261372</v>
          </cell>
        </row>
        <row r="12">
          <cell r="B12">
            <v>14</v>
          </cell>
          <cell r="AI12">
            <v>-0.75842875009769539</v>
          </cell>
          <cell r="AK12">
            <v>3.5986722802029893</v>
          </cell>
          <cell r="AM12">
            <v>9.5937478004768728</v>
          </cell>
          <cell r="AO12">
            <v>11.62046195778616</v>
          </cell>
        </row>
        <row r="13">
          <cell r="B13">
            <v>16</v>
          </cell>
          <cell r="AI13">
            <v>2.268204181949427</v>
          </cell>
          <cell r="AK13">
            <v>6.1518134314651336</v>
          </cell>
          <cell r="AM13">
            <v>11.469222277892463</v>
          </cell>
          <cell r="AO13">
            <v>13.26386506493875</v>
          </cell>
        </row>
        <row r="14">
          <cell r="B14">
            <v>18</v>
          </cell>
          <cell r="AG14">
            <v>-2.2646067618488663</v>
          </cell>
          <cell r="AI14">
            <v>4.9725866802288277</v>
          </cell>
          <cell r="AK14">
            <v>8.4871378814573664</v>
          </cell>
          <cell r="AM14">
            <v>13.283305876680668</v>
          </cell>
          <cell r="AO14">
            <v>14.900273135674098</v>
          </cell>
        </row>
        <row r="15">
          <cell r="B15">
            <v>20</v>
          </cell>
          <cell r="AG15">
            <v>0.7733374306890366</v>
          </cell>
          <cell r="AI15">
            <v>7.4442202942514388</v>
          </cell>
          <cell r="AK15">
            <v>10.665388381092498</v>
          </cell>
          <cell r="AM15">
            <v>15.051077675349326</v>
          </cell>
          <cell r="AO15">
            <v>16.528594175104608</v>
          </cell>
        </row>
        <row r="16">
          <cell r="B16">
            <v>22</v>
          </cell>
          <cell r="AG16">
            <v>3.534688416729086</v>
          </cell>
          <cell r="AI16">
            <v>9.740686128627452</v>
          </cell>
          <cell r="AK16">
            <v>12.72500774260846</v>
          </cell>
          <cell r="AM16">
            <v>16.781635559339072</v>
          </cell>
          <cell r="AO16">
            <v>18.14764936005497</v>
          </cell>
        </row>
        <row r="17">
          <cell r="B17">
            <v>24</v>
          </cell>
          <cell r="AC17">
            <v>-2.4806333036854857</v>
          </cell>
          <cell r="AE17">
            <v>-0.87084043548713053</v>
          </cell>
          <cell r="AG17">
            <v>6.0789987453637284</v>
          </cell>
          <cell r="AI17">
            <v>11.900359748921224</v>
          </cell>
          <cell r="AK17">
            <v>14.691220207656798</v>
          </cell>
          <cell r="AM17">
            <v>18.480531851782004</v>
          </cell>
          <cell r="AO17">
            <v>19.756157178702612</v>
          </cell>
        </row>
        <row r="18">
          <cell r="B18">
            <v>26</v>
          </cell>
          <cell r="AA18">
            <v>-1.3967366464840649</v>
          </cell>
          <cell r="AC18">
            <v>0.30753829808395206</v>
          </cell>
          <cell r="AE18">
            <v>1.8446463966274051</v>
          </cell>
          <cell r="AG18">
            <v>8.4482465041519621</v>
          </cell>
          <cell r="AI18">
            <v>13.949488226492578</v>
          </cell>
          <cell r="AK18">
            <v>16.580981429856305</v>
          </cell>
          <cell r="AM18">
            <v>20.151075861772814</v>
          </cell>
          <cell r="AO18">
            <v>21.352715078064691</v>
          </cell>
        </row>
        <row r="19">
          <cell r="B19">
            <v>28</v>
          </cell>
          <cell r="W19">
            <v>-2.5919636771181489</v>
          </cell>
          <cell r="Y19">
            <v>-0.5675372343722721</v>
          </cell>
          <cell r="AA19">
            <v>1.2526933154420714</v>
          </cell>
          <cell r="AC19">
            <v>2.8899050847984884</v>
          </cell>
          <cell r="AE19">
            <v>4.363907407214036</v>
          </cell>
          <cell r="AG19">
            <v>10.672499438762152</v>
          </cell>
          <cell r="AI19">
            <v>15.906326083247601</v>
          </cell>
          <cell r="AK19">
            <v>18.40582495670219</v>
          </cell>
          <cell r="AM19">
            <v>21.79506741077741</v>
          </cell>
          <cell r="AO19">
            <v>22.935778049257106</v>
          </cell>
        </row>
        <row r="20">
          <cell r="B20">
            <v>30</v>
          </cell>
          <cell r="U20">
            <v>-2.183347600831683</v>
          </cell>
          <cell r="W20">
            <v>-4.5907352537882144E-15</v>
          </cell>
          <cell r="Y20">
            <v>1.959351114933924</v>
          </cell>
          <cell r="AA20">
            <v>3.7175739176335063</v>
          </cell>
          <cell r="AC20">
            <v>5.2963952853290079</v>
          </cell>
          <cell r="AE20">
            <v>6.7158669789983625</v>
          </cell>
          <cell r="AG20">
            <v>12.773507079243728</v>
          </cell>
          <cell r="AI20">
            <v>17.783651160272733</v>
          </cell>
          <cell r="AK20">
            <v>20.173570184167716</v>
          </cell>
          <cell r="AM20">
            <v>23.413224446370535</v>
          </cell>
          <cell r="AO20">
            <v>24.503633444419975</v>
          </cell>
        </row>
        <row r="21">
          <cell r="B21">
            <v>32</v>
          </cell>
          <cell r="S21">
            <v>-2.0772111926633001</v>
          </cell>
          <cell r="U21">
            <v>0.29174951184248993</v>
          </cell>
          <cell r="W21">
            <v>2.4151645221749249</v>
          </cell>
          <cell r="Y21">
            <v>4.3171766944179071</v>
          </cell>
          <cell r="AA21">
            <v>6.0213092895232245</v>
          </cell>
          <cell r="AC21">
            <v>7.5496042006696653</v>
          </cell>
          <cell r="AE21">
            <v>8.9221972118731578</v>
          </cell>
          <cell r="AG21">
            <v>14.767035649319535</v>
          </cell>
          <cell r="AI21">
            <v>19.590344778521498</v>
          </cell>
          <cell r="AK21">
            <v>21.889380939370991</v>
          </cell>
          <cell r="AM21">
            <v>25.005435882041542</v>
          </cell>
          <cell r="AO21">
            <v>26.054371143665815</v>
          </cell>
        </row>
        <row r="22">
          <cell r="B22">
            <v>34</v>
          </cell>
          <cell r="S22">
            <v>0.28799301549774053</v>
          </cell>
          <cell r="U22">
            <v>2.6019220081333687</v>
          </cell>
          <cell r="W22">
            <v>4.6723933049052251</v>
          </cell>
          <cell r="Y22">
            <v>6.5243241400097158</v>
          </cell>
          <cell r="AA22">
            <v>8.1816367408709443</v>
          </cell>
          <cell r="AC22">
            <v>9.6665138060076394</v>
          </cell>
          <cell r="AE22">
            <v>10.99906326484988</v>
          </cell>
          <cell r="AG22">
            <v>16.664416671372972</v>
          </cell>
          <cell r="AI22">
            <v>21.332408040576237</v>
          </cell>
          <cell r="AK22">
            <v>23.556435951805963</v>
          </cell>
          <cell r="AM22">
            <v>26.570908485671261</v>
          </cell>
          <cell r="AO22">
            <v>27.585847962766874</v>
          </cell>
        </row>
        <row r="23">
          <cell r="B23">
            <v>36</v>
          </cell>
          <cell r="Q23">
            <v>-3.476614813455061E-2</v>
          </cell>
          <cell r="S23">
            <v>2.4967932798470045</v>
          </cell>
          <cell r="U23">
            <v>4.761929956387279</v>
          </cell>
          <cell r="W23">
            <v>6.7860933655729427</v>
          </cell>
          <cell r="Y23">
            <v>8.5946861418461236</v>
          </cell>
          <cell r="AA23">
            <v>10.211829985248064</v>
          </cell>
          <cell r="AC23">
            <v>11.659718076615567</v>
          </cell>
          <cell r="AE23">
            <v>12.958351217055212</v>
          </cell>
          <cell r="AG23">
            <v>18.473588942880223</v>
          </cell>
          <cell r="AI23">
            <v>23.013624595987885</v>
          </cell>
          <cell r="AK23">
            <v>25.176356845098525</v>
          </cell>
          <cell r="AM23">
            <v>28.108245271413203</v>
          </cell>
          <cell r="AO23">
            <v>29.095644895408221</v>
          </cell>
        </row>
        <row r="24">
          <cell r="B24">
            <v>38</v>
          </cell>
          <cell r="O24">
            <v>-0.70124285966229927</v>
          </cell>
          <cell r="Q24">
            <v>2.0740231073108251</v>
          </cell>
          <cell r="S24">
            <v>4.5606112945213351</v>
          </cell>
          <cell r="U24">
            <v>6.782942444036923</v>
          </cell>
          <cell r="W24">
            <v>8.7670259455793378</v>
          </cell>
          <cell r="Y24">
            <v>10.538513886815483</v>
          </cell>
          <cell r="AA24">
            <v>12.121569632515236</v>
          </cell>
          <cell r="AC24">
            <v>13.538297702034502</v>
          </cell>
          <cell r="AE24">
            <v>14.80853486222458</v>
          </cell>
          <cell r="AG24">
            <v>20.199804109746729</v>
          </cell>
          <cell r="AI24">
            <v>24.635992789670198</v>
          </cell>
          <cell r="AK24">
            <v>26.749477565308538</v>
          </cell>
          <cell r="AM24">
            <v>29.615476095434349</v>
          </cell>
          <cell r="AO24">
            <v>30.581015394182749</v>
          </cell>
        </row>
        <row r="25">
          <cell r="B25">
            <v>40</v>
          </cell>
          <cell r="M25">
            <v>-1.7335296882288886</v>
          </cell>
          <cell r="O25">
            <v>1.3075420262631845</v>
          </cell>
          <cell r="Q25">
            <v>4.0410760342115353</v>
          </cell>
          <cell r="S25">
            <v>6.4879229558024827</v>
          </cell>
          <cell r="U25">
            <v>8.673106102860265</v>
          </cell>
          <cell r="W25">
            <v>10.62290962494955</v>
          </cell>
          <cell r="Y25">
            <v>12.363038602573472</v>
          </cell>
          <cell r="AA25">
            <v>13.917570085526112</v>
          </cell>
          <cell r="AC25">
            <v>15.308442254497171</v>
          </cell>
          <cell r="AE25">
            <v>16.55528570720805</v>
          </cell>
          <cell r="AG25">
            <v>21.846101578953139</v>
          </cell>
          <cell r="AI25">
            <v>26.200000785167244</v>
          </cell>
          <cell r="AK25">
            <v>28.275004645701493</v>
          </cell>
          <cell r="AM25">
            <v>31.090051635779325</v>
          </cell>
          <cell r="AO25">
            <v>32.038822379635519</v>
          </cell>
        </row>
        <row r="26">
          <cell r="B26">
            <v>42</v>
          </cell>
          <cell r="M26">
            <v>0.17501127604110828</v>
          </cell>
          <cell r="O26">
            <v>3.1765359436488692</v>
          </cell>
          <cell r="Q26">
            <v>5.8726026476943431</v>
          </cell>
          <cell r="S26">
            <v>8.2846548867306975</v>
          </cell>
          <cell r="U26">
            <v>10.437971476874884</v>
          </cell>
          <cell r="W26">
            <v>12.358863247182168</v>
          </cell>
          <cell r="Y26">
            <v>14.072920119640793</v>
          </cell>
          <cell r="AA26">
            <v>15.604025256068478</v>
          </cell>
          <cell r="AC26">
            <v>16.973886781426817</v>
          </cell>
          <cell r="AE26">
            <v>18.201896016367684</v>
          </cell>
          <cell r="AG26">
            <v>23.413619392463008</v>
          </cell>
          <cell r="AI26">
            <v>27.704789252244233</v>
          </cell>
          <cell r="AK26">
            <v>29.751097479357135</v>
          </cell>
          <cell r="AM26">
            <v>32.528806104761301</v>
          </cell>
          <cell r="AO26">
            <v>33.465460981431455</v>
          </cell>
        </row>
        <row r="27">
          <cell r="B27">
            <v>44</v>
          </cell>
          <cell r="K27">
            <v>-1.3362449153029001</v>
          </cell>
          <cell r="M27">
            <v>1.9451054360011877</v>
          </cell>
          <cell r="O27">
            <v>4.9100538315873834</v>
          </cell>
          <cell r="Q27">
            <v>7.5726401728766604</v>
          </cell>
          <cell r="S27">
            <v>9.954483659896967</v>
          </cell>
          <cell r="U27">
            <v>12.080806223792015</v>
          </cell>
          <cell r="W27">
            <v>13.977723960027395</v>
          </cell>
          <cell r="Y27">
            <v>15.670562591630963</v>
          </cell>
          <cell r="AA27">
            <v>17.182916663207923</v>
          </cell>
          <cell r="AC27">
            <v>18.536208567360262</v>
          </cell>
          <cell r="AE27">
            <v>19.749561797194421</v>
          </cell>
          <cell r="AG27">
            <v>24.901783208343105</v>
          </cell>
          <cell r="AI27">
            <v>29.148228394515968</v>
          </cell>
          <cell r="AK27">
            <v>31.174885272092933</v>
          </cell>
          <cell r="AM27">
            <v>33.927890085445803</v>
          </cell>
          <cell r="AO27">
            <v>34.856763096865599</v>
          </cell>
        </row>
        <row r="28">
          <cell r="B28">
            <v>46</v>
          </cell>
          <cell r="K28">
            <v>0.33611058096557672</v>
          </cell>
          <cell r="M28">
            <v>3.5795366350006277</v>
          </cell>
          <cell r="O28">
            <v>6.5105597599862914</v>
          </cell>
          <cell r="Q28">
            <v>9.1432623223615419</v>
          </cell>
          <cell r="S28">
            <v>11.49905552747634</v>
          </cell>
          <cell r="U28">
            <v>13.602817619419611</v>
          </cell>
          <cell r="W28">
            <v>15.480266454847184</v>
          </cell>
          <cell r="Y28">
            <v>17.156326030350627</v>
          </cell>
          <cell r="AA28">
            <v>18.654214212187114</v>
          </cell>
          <cell r="AC28">
            <v>19.995015221651983</v>
          </cell>
          <cell r="AE28">
            <v>21.197557115464718</v>
          </cell>
          <cell r="AG28">
            <v>26.308399683177818</v>
          </cell>
          <cell r="AI28">
            <v>30.526924562361035</v>
          </cell>
          <cell r="AK28">
            <v>32.542429083367615</v>
          </cell>
          <cell r="AM28">
            <v>35.282671801541305</v>
          </cell>
          <cell r="AO28">
            <v>36.207878610169722</v>
          </cell>
        </row>
        <row r="29">
          <cell r="B29">
            <v>48</v>
          </cell>
          <cell r="K29">
            <v>1.873225708207843</v>
          </cell>
          <cell r="M29">
            <v>5.0795395125734784</v>
          </cell>
          <cell r="O29">
            <v>7.9788162761348236</v>
          </cell>
          <cell r="Q29">
            <v>10.584734753908426</v>
          </cell>
          <cell r="S29">
            <v>12.918141321941373</v>
          </cell>
          <cell r="U29">
            <v>15.003301702140751</v>
          </cell>
          <cell r="W29">
            <v>16.865342631164783</v>
          </cell>
          <cell r="Y29">
            <v>18.528654052515233</v>
          </cell>
          <cell r="AA29">
            <v>20.015990611796237</v>
          </cell>
          <cell r="AC29">
            <v>21.348045124615965</v>
          </cell>
          <cell r="AE29">
            <v>22.54332047663949</v>
          </cell>
          <cell r="AG29">
            <v>27.62966984857313</v>
          </cell>
          <cell r="AI29">
            <v>31.836163699043933</v>
          </cell>
          <cell r="AK29">
            <v>33.848631365949601</v>
          </cell>
          <cell r="AM29">
            <v>36.587602305768037</v>
          </cell>
          <cell r="AO29">
            <v>37.513126424466854</v>
          </cell>
        </row>
        <row r="30">
          <cell r="B30">
            <v>50</v>
          </cell>
          <cell r="I30">
            <v>-0.19519238152269844</v>
          </cell>
          <cell r="K30">
            <v>3.2755043606356513</v>
          </cell>
          <cell r="M30">
            <v>6.4449143184808761</v>
          </cell>
          <cell r="O30">
            <v>9.3140009827086647</v>
          </cell>
          <cell r="Q30">
            <v>11.895626968319977</v>
          </cell>
          <cell r="S30">
            <v>14.20973875744073</v>
          </cell>
          <cell r="U30">
            <v>16.279732623436594</v>
          </cell>
          <cell r="W30">
            <v>18.129955997645883</v>
          </cell>
          <cell r="Y30">
            <v>19.784132394340137</v>
          </cell>
          <cell r="AA30">
            <v>21.264463836250076</v>
          </cell>
          <cell r="AC30">
            <v>22.591194193119492</v>
          </cell>
          <cell r="AE30">
            <v>23.782466581531047</v>
          </cell>
          <cell r="AG30">
            <v>28.860130468528837</v>
          </cell>
          <cell r="AI30">
            <v>33.06979278350267</v>
          </cell>
          <cell r="AK30">
            <v>35.087090500245878</v>
          </cell>
          <cell r="AM30">
            <v>37.836037056683018</v>
          </cell>
          <cell r="AO30">
            <v>38.765806135175815</v>
          </cell>
        </row>
        <row r="31">
          <cell r="B31">
            <v>52</v>
          </cell>
          <cell r="I31">
            <v>1.1180533005525304</v>
          </cell>
          <cell r="K31">
            <v>4.5422093355962785</v>
          </cell>
          <cell r="M31">
            <v>7.6741271349546745</v>
          </cell>
          <cell r="O31">
            <v>10.513798501287724</v>
          </cell>
          <cell r="Q31">
            <v>13.072890356669818</v>
          </cell>
          <cell r="S31">
            <v>15.370132806396432</v>
          </cell>
          <cell r="U31">
            <v>17.427803288406238</v>
          </cell>
          <cell r="W31">
            <v>19.26928183437359</v>
          </cell>
          <cell r="Y31">
            <v>20.917488796820592</v>
          </cell>
          <cell r="AA31">
            <v>22.393977551059386</v>
          </cell>
          <cell r="AC31">
            <v>23.718478027829622</v>
          </cell>
          <cell r="AE31">
            <v>24.908731556897276</v>
          </cell>
          <cell r="AG31">
            <v>29.992525615580348</v>
          </cell>
          <cell r="AI31">
            <v>34.220035245836051</v>
          </cell>
          <cell r="AK31">
            <v>36.249893195949056</v>
          </cell>
          <cell r="AM31">
            <v>39.020002744605947</v>
          </cell>
          <cell r="AO31">
            <v>39.95795795787128</v>
          </cell>
        </row>
        <row r="32">
          <cell r="B32">
            <v>54</v>
          </cell>
          <cell r="I32">
            <v>2.297307154475559</v>
          </cell>
          <cell r="K32">
            <v>5.6715642361784662</v>
          </cell>
          <cell r="M32">
            <v>8.7644028761731523</v>
          </cell>
          <cell r="O32">
            <v>11.574476735739823</v>
          </cell>
          <cell r="Q32">
            <v>14.111912225955278</v>
          </cell>
          <cell r="S32">
            <v>16.393924272181561</v>
          </cell>
          <cell r="U32">
            <v>18.441427162564281</v>
          </cell>
          <cell r="W32">
            <v>20.276642330975832</v>
          </cell>
          <cell r="Y32">
            <v>21.921542518154403</v>
          </cell>
          <cell r="AA32">
            <v>23.396926610747169</v>
          </cell>
          <cell r="AC32">
            <v>24.721935295800368</v>
          </cell>
          <cell r="AE32">
            <v>25.913856218821728</v>
          </cell>
          <cell r="AG32">
            <v>31.01760607409221</v>
          </cell>
          <cell r="AI32">
            <v>35.277231354299566</v>
          </cell>
          <cell r="AK32">
            <v>37.327332699847993</v>
          </cell>
          <cell r="AM32">
            <v>40.129893583156779</v>
          </cell>
          <cell r="AO32">
            <v>41.080054037650292</v>
          </cell>
        </row>
        <row r="33">
          <cell r="B33">
            <v>56</v>
          </cell>
          <cell r="G33">
            <v>-0.22862184708977898</v>
          </cell>
          <cell r="I33">
            <v>3.3410757859823503</v>
          </cell>
          <cell r="K33">
            <v>6.6608630738272314</v>
          </cell>
          <cell r="M33">
            <v>9.711819940577417</v>
          </cell>
          <cell r="O33">
            <v>12.490957661406059</v>
          </cell>
          <cell r="Q33">
            <v>15.006556631904202</v>
          </cell>
          <cell r="S33">
            <v>17.274037284661144</v>
          </cell>
          <cell r="U33">
            <v>19.3127112836885</v>
          </cell>
          <cell r="W33">
            <v>21.143445611008779</v>
          </cell>
          <cell r="Y33">
            <v>22.787110956069728</v>
          </cell>
          <cell r="AA33">
            <v>24.263633504748189</v>
          </cell>
          <cell r="AC33">
            <v>25.591476534230097</v>
          </cell>
          <cell r="AE33">
            <v>26.787409849924867</v>
          </cell>
          <cell r="AG33">
            <v>31.92385028170478</v>
          </cell>
          <cell r="AI33">
            <v>36.229489308186707</v>
          </cell>
          <cell r="AK33">
            <v>38.307534974798152</v>
          </cell>
          <cell r="AM33">
            <v>41.154075056751658</v>
          </cell>
          <cell r="AO33">
            <v>42.12059796518809</v>
          </cell>
        </row>
        <row r="34">
          <cell r="B34">
            <v>58</v>
          </cell>
          <cell r="G34">
            <v>0.75365534410476964</v>
          </cell>
          <cell r="I34">
            <v>4.2472940767561322</v>
          </cell>
          <cell r="K34">
            <v>7.5065960242733061</v>
          </cell>
          <cell r="M34">
            <v>10.511417264313531</v>
          </cell>
          <cell r="O34">
            <v>13.256894916765331</v>
          </cell>
          <cell r="Q34">
            <v>15.749204942423187</v>
          </cell>
          <cell r="S34">
            <v>18.001718444477497</v>
          </cell>
          <cell r="U34">
            <v>20.031912291928666</v>
          </cell>
          <cell r="W34">
            <v>21.859098995149868</v>
          </cell>
          <cell r="Y34">
            <v>23.502881891142721</v>
          </cell>
          <cell r="AA34">
            <v>24.982182186925307</v>
          </cell>
          <cell r="AC34">
            <v>26.314682619004255</v>
          </cell>
          <cell r="AE34">
            <v>27.516556515012212</v>
          </cell>
          <cell r="AG34">
            <v>32.697097286987635</v>
          </cell>
          <cell r="AI34">
            <v>37.062226862999694</v>
          </cell>
          <cell r="AK34">
            <v>39.175967887656014</v>
          </cell>
          <cell r="AM34">
            <v>42.0783645839619</v>
          </cell>
          <cell r="AO34">
            <v>43.0656004204331</v>
          </cell>
        </row>
        <row r="35">
          <cell r="B35">
            <v>60</v>
          </cell>
          <cell r="G35">
            <v>1.6053920614433592</v>
          </cell>
          <cell r="I35">
            <v>5.0134810469010773</v>
          </cell>
          <cell r="K35">
            <v>8.2046014191469574</v>
          </cell>
          <cell r="M35">
            <v>11.15732682794104</v>
          </cell>
          <cell r="O35">
            <v>13.864773405128686</v>
          </cell>
          <cell r="Q35">
            <v>16.330812476654053</v>
          </cell>
          <cell r="S35">
            <v>18.566544060330354</v>
          </cell>
          <cell r="U35">
            <v>20.587391091594025</v>
          </cell>
          <cell r="W35">
            <v>22.410910531025056</v>
          </cell>
          <cell r="Y35">
            <v>24.055263233040435</v>
          </cell>
          <cell r="AA35">
            <v>25.538218647292798</v>
          </cell>
          <cell r="AC35">
            <v>26.876559511505505</v>
          </cell>
          <cell r="AE35">
            <v>28.085767685357013</v>
          </cell>
          <cell r="AG35">
            <v>33.320079969325953</v>
          </cell>
          <cell r="AI35">
            <v>37.75757659142036</v>
          </cell>
          <cell r="AK35">
            <v>39.914799470761288</v>
          </cell>
          <cell r="AM35">
            <v>42.885346758209742</v>
          </cell>
          <cell r="AO35">
            <v>43.897886237835607</v>
          </cell>
        </row>
        <row r="36">
          <cell r="B36">
            <v>62</v>
          </cell>
          <cell r="G36">
            <v>2.3256140150174343</v>
          </cell>
          <cell r="I36">
            <v>5.6369276733548386</v>
          </cell>
          <cell r="K36">
            <v>8.7502556228968214</v>
          </cell>
          <cell r="M36">
            <v>11.642947352255208</v>
          </cell>
          <cell r="O36">
            <v>14.306049984872201</v>
          </cell>
          <cell r="Q36">
            <v>16.74100253098943</v>
          </cell>
          <cell r="S36">
            <v>18.956457764943362</v>
          </cell>
          <cell r="U36">
            <v>20.965588178847344</v>
          </cell>
          <cell r="W36">
            <v>22.783999498369479</v>
          </cell>
          <cell r="Y36">
            <v>24.428228788728251</v>
          </cell>
          <cell r="AA36">
            <v>25.914733913321498</v>
          </cell>
          <cell r="AC36">
            <v>27.259261703097515</v>
          </cell>
          <cell r="AE36">
            <v>28.476490061823224</v>
          </cell>
          <cell r="AG36">
            <v>33.771846515158458</v>
          </cell>
          <cell r="AI36">
            <v>38.29362054570295</v>
          </cell>
          <cell r="AK36">
            <v>40.50206014106049</v>
          </cell>
          <cell r="AM36">
            <v>43.553464515484016</v>
          </cell>
          <cell r="AO36">
            <v>44.596170282060555</v>
          </cell>
        </row>
        <row r="37">
          <cell r="B37">
            <v>64</v>
          </cell>
          <cell r="E37">
            <v>-0.42687957381331959</v>
          </cell>
          <cell r="G37">
            <v>2.9135014273660995</v>
          </cell>
          <cell r="I37">
            <v>6.1149241710682141</v>
          </cell>
          <cell r="K37">
            <v>9.1387136897229091</v>
          </cell>
          <cell r="M37">
            <v>11.961177751344763</v>
          </cell>
          <cell r="O37">
            <v>14.571359033173474</v>
          </cell>
          <cell r="Q37">
            <v>16.968225731430159</v>
          </cell>
          <cell r="S37">
            <v>19.157869168924751</v>
          </cell>
          <cell r="U37">
            <v>21.151051449441123</v>
          </cell>
          <cell r="W37">
            <v>22.961247356333608</v>
          </cell>
          <cell r="Y37">
            <v>24.603189856362444</v>
          </cell>
          <cell r="AA37">
            <v>26.091856551956369</v>
          </cell>
          <cell r="AC37">
            <v>27.441807884666186</v>
          </cell>
          <cell r="AE37">
            <v>28.666788009861168</v>
          </cell>
          <cell r="AG37">
            <v>34.02706197423943</v>
          </cell>
          <cell r="AI37">
            <v>38.643413162111443</v>
          </cell>
          <cell r="AK37">
            <v>40.910550483785215</v>
          </cell>
          <cell r="AM37">
            <v>44.055805294249346</v>
          </cell>
          <cell r="AO37">
            <v>45.133814301010069</v>
          </cell>
        </row>
        <row r="38">
          <cell r="B38">
            <v>66</v>
          </cell>
          <cell r="E38">
            <v>0.17377019076957656</v>
          </cell>
          <cell r="G38">
            <v>3.368615224000401</v>
          </cell>
          <cell r="I38">
            <v>6.4450334987368771</v>
          </cell>
          <cell r="K38">
            <v>9.3652141551417536</v>
          </cell>
          <cell r="M38">
            <v>12.104731381133385</v>
          </cell>
          <cell r="O38">
            <v>14.650811791958564</v>
          </cell>
          <cell r="Q38">
            <v>17.000020776248057</v>
          </cell>
          <cell r="S38">
            <v>19.155855350338811</v>
          </cell>
          <cell r="U38">
            <v>21.126562175063523</v>
          </cell>
          <cell r="W38">
            <v>22.923336726499851</v>
          </cell>
          <cell r="Y38">
            <v>24.558940233529874</v>
          </cell>
          <cell r="AA38">
            <v>26.046700562960858</v>
          </cell>
          <cell r="AC38">
            <v>27.399831627984256</v>
          </cell>
          <cell r="AE38">
            <v>28.63099918879286</v>
          </cell>
          <cell r="AG38">
            <v>34.055193724124422</v>
          </cell>
          <cell r="AI38">
            <v>38.773747589832773</v>
          </cell>
          <cell r="AK38">
            <v>41.106422271217944</v>
          </cell>
          <cell r="AM38">
            <v>44.358471724503694</v>
          </cell>
          <cell r="AO38">
            <v>45.477142046063676</v>
          </cell>
        </row>
        <row r="39">
          <cell r="B39">
            <v>68</v>
          </cell>
          <cell r="E39">
            <v>0.65913191547168859</v>
          </cell>
          <cell r="G39">
            <v>3.6911527006396656</v>
          </cell>
          <cell r="I39">
            <v>6.625415792041851</v>
          </cell>
          <cell r="K39">
            <v>9.4254602807794008</v>
          </cell>
          <cell r="M39">
            <v>12.066553311121167</v>
          </cell>
          <cell r="O39">
            <v>14.534422985880186</v>
          </cell>
          <cell r="Q39">
            <v>16.823421489296766</v>
          </cell>
          <cell r="S39">
            <v>18.934520567101412</v>
          </cell>
          <cell r="U39">
            <v>20.873423166902295</v>
          </cell>
          <cell r="W39">
            <v>22.648948700487153</v>
          </cell>
          <cell r="Y39">
            <v>24.271748642165299</v>
          </cell>
          <cell r="AA39">
            <v>25.753343886401101</v>
          </cell>
          <cell r="AC39">
            <v>27.105441265203776</v>
          </cell>
          <cell r="AE39">
            <v>28.33947459706534</v>
          </cell>
          <cell r="AG39">
            <v>33.819612408113336</v>
          </cell>
          <cell r="AI39">
            <v>38.643626992091072</v>
          </cell>
          <cell r="AK39">
            <v>41.047350553685689</v>
          </cell>
          <cell r="AM39">
            <v>44.418389855779985</v>
          </cell>
          <cell r="AO39">
            <v>45.583143727667405</v>
          </cell>
        </row>
        <row r="40">
          <cell r="B40">
            <v>70</v>
          </cell>
          <cell r="E40">
            <v>1.0317298907919357</v>
          </cell>
          <cell r="G40">
            <v>3.8822292539608667</v>
          </cell>
          <cell r="I40">
            <v>6.6552045463320679</v>
          </cell>
          <cell r="K40">
            <v>9.3160865688685561</v>
          </cell>
          <cell r="M40">
            <v>11.840361302402135</v>
          </cell>
          <cell r="O40">
            <v>14.212700440584941</v>
          </cell>
          <cell r="Q40">
            <v>16.425562834659278</v>
          </cell>
          <cell r="S40">
            <v>18.477584090204466</v>
          </cell>
          <cell r="U40">
            <v>20.371995139671021</v>
          </cell>
          <cell r="W40">
            <v>22.115218336813626</v>
          </cell>
          <cell r="Y40">
            <v>23.715709306280225</v>
          </cell>
          <cell r="AA40">
            <v>25.183055833563522</v>
          </cell>
          <cell r="AC40">
            <v>26.527311552178901</v>
          </cell>
          <cell r="AE40">
            <v>27.758526823203692</v>
          </cell>
          <cell r="AG40">
            <v>33.276696666973699</v>
          </cell>
          <cell r="AI40">
            <v>38.202433565832955</v>
          </cell>
          <cell r="AK40">
            <v>40.680221487919169</v>
          </cell>
          <cell r="AM40">
            <v>44.180369904364255</v>
          </cell>
          <cell r="AO40">
            <v>45.396345385689813</v>
          </cell>
        </row>
        <row r="41">
          <cell r="B41">
            <v>72</v>
          </cell>
          <cell r="E41">
            <v>1.2950806135325017</v>
          </cell>
          <cell r="G41">
            <v>3.944178358298553</v>
          </cell>
          <cell r="I41">
            <v>6.5349291895301898</v>
          </cell>
          <cell r="K41">
            <v>9.0352122388587723</v>
          </cell>
          <cell r="M41">
            <v>11.421324855799805</v>
          </cell>
          <cell r="O41">
            <v>13.677430385135056</v>
          </cell>
          <cell r="Q41">
            <v>15.794541546103645</v>
          </cell>
          <cell r="S41">
            <v>17.769277697913399</v>
          </cell>
          <cell r="U41">
            <v>19.602589593666799</v>
          </cell>
          <cell r="W41">
            <v>21.298582416985262</v>
          </cell>
          <cell r="Y41">
            <v>22.86350794156013</v>
          </cell>
          <cell r="AA41">
            <v>24.304950277865402</v>
          </cell>
          <cell r="AC41">
            <v>25.631199352376928</v>
          </cell>
          <cell r="AE41">
            <v>26.850789801434978</v>
          </cell>
          <cell r="AG41">
            <v>32.37513763810361</v>
          </cell>
          <cell r="AI41">
            <v>37.387874774338336</v>
          </cell>
          <cell r="AK41">
            <v>39.938314019289294</v>
          </cell>
          <cell r="AM41">
            <v>43.573215475824561</v>
          </cell>
          <cell r="AO41">
            <v>44.844568824817372</v>
          </cell>
        </row>
        <row r="42">
          <cell r="B42">
            <v>74</v>
          </cell>
          <cell r="E42">
            <v>1.4538806492571676</v>
          </cell>
          <cell r="G42">
            <v>3.8808564960003369</v>
          </cell>
          <cell r="I42">
            <v>6.2669699405912498</v>
          </cell>
          <cell r="K42">
            <v>8.5830715031788021</v>
          </cell>
          <cell r="M42">
            <v>10.80688313398532</v>
          </cell>
          <cell r="O42">
            <v>12.922678601796028</v>
          </cell>
          <cell r="Q42">
            <v>14.920579326134893</v>
          </cell>
          <cell r="S42">
            <v>16.795635741456245</v>
          </cell>
          <cell r="U42">
            <v>18.546841042830884</v>
          </cell>
          <cell r="W42">
            <v>20.176184551535464</v>
          </cell>
          <cell r="Y42">
            <v>21.687810302596478</v>
          </cell>
          <cell r="AA42">
            <v>23.087311438653668</v>
          </cell>
          <cell r="AC42">
            <v>24.381165887280556</v>
          </cell>
          <cell r="AE42">
            <v>25.576303329258877</v>
          </cell>
          <cell r="AG42">
            <v>31.055829996393204</v>
          </cell>
          <cell r="AI42">
            <v>36.12398866515958</v>
          </cell>
          <cell r="AK42">
            <v>38.738120442622552</v>
          </cell>
          <cell r="AM42">
            <v>42.504736921659145</v>
          </cell>
          <cell r="AO42">
            <v>43.833315061383509</v>
          </cell>
        </row>
        <row r="43">
          <cell r="B43">
            <v>76</v>
          </cell>
          <cell r="E43">
            <v>1.5141733037586422</v>
          </cell>
          <cell r="G43">
            <v>3.6979336337571729</v>
          </cell>
          <cell r="I43">
            <v>5.8560197618996721</v>
          </cell>
          <cell r="K43">
            <v>7.9626932948717233</v>
          </cell>
          <cell r="M43">
            <v>9.997679447540655</v>
          </cell>
          <cell r="O43">
            <v>11.946000586121617</v>
          </cell>
          <cell r="Q43">
            <v>13.797509721376144</v>
          </cell>
          <cell r="S43">
            <v>15.546239639670416</v>
          </cell>
          <cell r="U43">
            <v>17.189672660851421</v>
          </cell>
          <cell r="W43">
            <v>18.728012780470372</v>
          </cell>
          <cell r="Y43">
            <v>20.163515085698499</v>
          </cell>
          <cell r="AA43">
            <v>21.499902910218278</v>
          </cell>
          <cell r="AC43">
            <v>22.741884201774031</v>
          </cell>
          <cell r="AE43">
            <v>23.894765642866481</v>
          </cell>
          <cell r="AG43">
            <v>29.253047480514802</v>
          </cell>
          <cell r="AI43">
            <v>34.319915929805639</v>
          </cell>
          <cell r="AK43">
            <v>36.976370272454552</v>
          </cell>
          <cell r="AM43">
            <v>40.855818454367252</v>
          </cell>
          <cell r="AO43">
            <v>42.238718248161092</v>
          </cell>
        </row>
        <row r="44">
          <cell r="B44">
            <v>78</v>
          </cell>
          <cell r="E44">
            <v>1.4834789465779445</v>
          </cell>
          <cell r="G44">
            <v>3.4031439215419756</v>
          </cell>
          <cell r="I44">
            <v>5.3095158211283549</v>
          </cell>
          <cell r="K44">
            <v>7.1805812213498932</v>
          </cell>
          <cell r="M44">
            <v>8.9985563691375283</v>
          </cell>
          <cell r="O44">
            <v>10.749808130282821</v>
          </cell>
          <cell r="Q44">
            <v>12.424554272750379</v>
          </cell>
          <cell r="S44">
            <v>14.016418761681265</v>
          </cell>
          <cell r="U44">
            <v>15.521913096730719</v>
          </cell>
          <cell r="W44">
            <v>16.939901746124786</v>
          </cell>
          <cell r="Y44">
            <v>18.271093462618047</v>
          </cell>
          <cell r="AA44">
            <v>19.517584479572104</v>
          </cell>
          <cell r="AC44">
            <v>20.682466450389406</v>
          </cell>
          <cell r="AE44">
            <v>21.769502307871072</v>
          </cell>
          <cell r="AG44">
            <v>26.898045827027026</v>
          </cell>
          <cell r="AI44">
            <v>31.870959203168354</v>
          </cell>
          <cell r="AK44">
            <v>34.528753801438647</v>
          </cell>
          <cell r="AM44">
            <v>38.474587829129376</v>
          </cell>
          <cell r="AO44">
            <v>39.899827541505466</v>
          </cell>
        </row>
        <row r="45">
          <cell r="B45">
            <v>80</v>
          </cell>
          <cell r="E45">
            <v>1.3708728194180217</v>
          </cell>
          <cell r="G45">
            <v>3.0064668465587698</v>
          </cell>
          <cell r="I45">
            <v>4.6379912954221076</v>
          </cell>
          <cell r="K45">
            <v>6.2473206667040229</v>
          </cell>
          <cell r="M45">
            <v>7.8195136534823444</v>
          </cell>
          <cell r="O45">
            <v>9.3427748406696445</v>
          </cell>
          <cell r="Q45">
            <v>10.808263077306126</v>
          </cell>
          <cell r="S45">
            <v>12.209794876884571</v>
          </cell>
          <cell r="U45">
            <v>13.543488778628248</v>
          </cell>
          <cell r="W45">
            <v>14.80738931855926</v>
          </cell>
          <cell r="Y45">
            <v>16.001099769642071</v>
          </cell>
          <cell r="AA45">
            <v>17.125443213094556</v>
          </cell>
          <cell r="AC45">
            <v>18.182163121512964</v>
          </cell>
          <cell r="AE45">
            <v>19.173668077756396</v>
          </cell>
          <cell r="AG45">
            <v>23.926719962840963</v>
          </cell>
          <cell r="AI45">
            <v>28.664803985351135</v>
          </cell>
          <cell r="AK45">
            <v>31.253674988682487</v>
          </cell>
          <cell r="AM45">
            <v>35.174026373564026</v>
          </cell>
          <cell r="AO45">
            <v>36.613292079058084</v>
          </cell>
        </row>
        <row r="46">
          <cell r="B46">
            <v>82</v>
          </cell>
          <cell r="E46">
            <v>1.1869949786296861</v>
          </cell>
          <cell r="G46">
            <v>2.5202076787674095</v>
          </cell>
          <cell r="I46">
            <v>3.8552907905239406</v>
          </cell>
          <cell r="K46">
            <v>5.1780195628422652</v>
          </cell>
          <cell r="M46">
            <v>6.4764884960495124</v>
          </cell>
          <cell r="O46">
            <v>7.7410870572286195</v>
          </cell>
          <cell r="Q46">
            <v>8.9643744153827019</v>
          </cell>
          <cell r="S46">
            <v>10.140883829204423</v>
          </cell>
          <cell r="U46">
            <v>11.266885448494815</v>
          </cell>
          <cell r="W46">
            <v>12.340131913667369</v>
          </cell>
          <cell r="Y46">
            <v>13.359605600750772</v>
          </cell>
          <cell r="AA46">
            <v>14.325280727966785</v>
          </cell>
          <cell r="AC46">
            <v>15.237908511397025</v>
          </cell>
          <cell r="AE46">
            <v>16.098829483124636</v>
          </cell>
          <cell r="AG46">
            <v>20.293086433695706</v>
          </cell>
          <cell r="AI46">
            <v>24.597496441145584</v>
          </cell>
          <cell r="AK46">
            <v>27.007340822056744</v>
          </cell>
          <cell r="AM46">
            <v>30.741321290510641</v>
          </cell>
          <cell r="AO46">
            <v>32.13909391350419</v>
          </cell>
        </row>
        <row r="47">
          <cell r="B47">
            <v>84</v>
          </cell>
          <cell r="E47">
            <v>0.94398015796498091</v>
          </cell>
          <cell r="G47">
            <v>1.9589492530610964</v>
          </cell>
          <cell r="I47">
            <v>2.978592949278382</v>
          </cell>
          <cell r="K47">
            <v>3.9924802688728276</v>
          </cell>
          <cell r="M47">
            <v>4.9917879936637872</v>
          </cell>
          <cell r="O47">
            <v>5.9692800099704746</v>
          </cell>
          <cell r="Q47">
            <v>6.9192237769347757</v>
          </cell>
          <cell r="S47">
            <v>7.83726311056013</v>
          </cell>
          <cell r="U47">
            <v>8.7202647850115476</v>
          </cell>
          <cell r="W47">
            <v>9.5661536240551097</v>
          </cell>
          <cell r="Y47">
            <v>10.373747459396849</v>
          </cell>
          <cell r="AA47">
            <v>11.142600076585175</v>
          </cell>
          <cell r="AC47">
            <v>11.872857377171382</v>
          </cell>
          <cell r="AE47">
            <v>12.5651296195461</v>
          </cell>
          <cell r="AG47">
            <v>15.989294432214422</v>
          </cell>
          <cell r="AI47">
            <v>19.604489236052679</v>
          </cell>
          <cell r="AK47">
            <v>21.679499169988304</v>
          </cell>
          <cell r="AM47">
            <v>24.975545248162792</v>
          </cell>
          <cell r="AO47">
            <v>26.236572594335257</v>
          </cell>
        </row>
        <row r="48">
          <cell r="B48">
            <v>86</v>
          </cell>
          <cell r="E48">
            <v>0.655300958618388</v>
          </cell>
          <cell r="G48">
            <v>1.3393559674377227</v>
          </cell>
          <cell r="I48">
            <v>2.0281953627787273</v>
          </cell>
          <cell r="K48">
            <v>2.7150107649581723</v>
          </cell>
          <cell r="M48">
            <v>3.3940049414170459</v>
          </cell>
          <cell r="O48">
            <v>4.060374582771642</v>
          </cell>
          <cell r="Q48">
            <v>4.7102571512720495</v>
          </cell>
          <cell r="S48">
            <v>5.3406531494289773</v>
          </cell>
          <cell r="U48">
            <v>5.94933381481954</v>
          </cell>
          <cell r="W48">
            <v>6.5347424567475212</v>
          </cell>
          <cell r="Y48">
            <v>7.0958957368622553</v>
          </cell>
          <cell r="AA48">
            <v>7.6322893861291661</v>
          </cell>
          <cell r="AC48">
            <v>8.1438112788029784</v>
          </cell>
          <cell r="AE48">
            <v>8.6306635092292279</v>
          </cell>
          <cell r="AG48">
            <v>11.069382228850216</v>
          </cell>
          <cell r="AI48">
            <v>13.707954849090314</v>
          </cell>
          <cell r="AK48">
            <v>15.25682855442059</v>
          </cell>
          <cell r="AM48">
            <v>17.776153565937548</v>
          </cell>
          <cell r="AO48">
            <v>18.761014913932325</v>
          </cell>
        </row>
        <row r="49">
          <cell r="B49">
            <v>88</v>
          </cell>
          <cell r="E49">
            <v>0.33552554115332434</v>
          </cell>
          <cell r="G49">
            <v>0.6798252451810094</v>
          </cell>
          <cell r="I49">
            <v>1.0270410138390633</v>
          </cell>
          <cell r="K49">
            <v>1.3738196637440094</v>
          </cell>
          <cell r="M49">
            <v>1.7172960610159833</v>
          </cell>
          <cell r="O49">
            <v>2.0550830196160579</v>
          </cell>
          <cell r="Q49">
            <v>2.3852449721720532</v>
          </cell>
          <cell r="S49">
            <v>2.7062607238194851</v>
          </cell>
          <cell r="U49">
            <v>3.016979855470419</v>
          </cell>
          <cell r="W49">
            <v>3.3165764570865539</v>
          </cell>
          <cell r="Y49">
            <v>3.6045029769974879</v>
          </cell>
          <cell r="AA49">
            <v>3.8804461558682508</v>
          </cell>
          <cell r="AC49">
            <v>4.1442863193881987</v>
          </cell>
          <cell r="AE49">
            <v>4.3960607480550555</v>
          </cell>
          <cell r="AG49">
            <v>5.6679508948909509</v>
          </cell>
          <cell r="AI49">
            <v>7.0674524836895971</v>
          </cell>
          <cell r="AK49">
            <v>7.9022479069599054</v>
          </cell>
          <cell r="AM49">
            <v>9.2843491295047027</v>
          </cell>
          <cell r="AO49">
            <v>9.8336896170272219</v>
          </cell>
        </row>
        <row r="50">
          <cell r="B50">
            <v>90</v>
          </cell>
          <cell r="E50">
            <v>5.9344305580031988E-16</v>
          </cell>
          <cell r="G50">
            <v>1.1989971943720741E-15</v>
          </cell>
          <cell r="I50">
            <v>1.8099823117650998E-15</v>
          </cell>
          <cell r="K50">
            <v>2.4205460601116465E-15</v>
          </cell>
          <cell r="M50">
            <v>3.0256825751395592E-15</v>
          </cell>
          <cell r="O50">
            <v>3.6212137486590931E-15</v>
          </cell>
          <cell r="Q50">
            <v>4.2037430150418051E-15</v>
          </cell>
          <cell r="S50">
            <v>4.7705907786666459E-15</v>
          </cell>
          <cell r="U50">
            <v>5.3197192592871826E-15</v>
          </cell>
          <cell r="W50">
            <v>5.8496529786031476E-15</v>
          </cell>
          <cell r="Y50">
            <v>6.3593995718501818E-15</v>
          </cell>
          <cell r="AA50">
            <v>6.8483742188524674E-15</v>
          </cell>
          <cell r="AC50">
            <v>7.3163298187193888E-15</v>
          </cell>
          <cell r="AE50">
            <v>7.7632941017149584E-15</v>
          </cell>
          <cell r="AG50">
            <v>1.0027976534748254E-14</v>
          </cell>
          <cell r="AI50">
            <v>1.2534970668435317E-14</v>
          </cell>
          <cell r="AK50">
            <v>1.4039167148647556E-14</v>
          </cell>
          <cell r="AM50">
            <v>1.6546161282334624E-14</v>
          </cell>
          <cell r="AO50">
            <v>1.7548958925280073E-14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B764-0364-4D02-ADAD-C72611A40ADD}">
  <dimension ref="B2:P42"/>
  <sheetViews>
    <sheetView tabSelected="1" zoomScale="85" zoomScaleNormal="85" workbookViewId="0">
      <selection activeCell="K4" sqref="K4"/>
    </sheetView>
  </sheetViews>
  <sheetFormatPr baseColWidth="10" defaultRowHeight="14.4" x14ac:dyDescent="0.3"/>
  <cols>
    <col min="1" max="1" width="2.6640625" customWidth="1"/>
  </cols>
  <sheetData>
    <row r="2" spans="2:16" ht="15.6" x14ac:dyDescent="0.4">
      <c r="B2" s="5" t="s">
        <v>0</v>
      </c>
      <c r="C2" s="8" t="s">
        <v>4</v>
      </c>
      <c r="D2" s="3"/>
      <c r="E2" s="3"/>
      <c r="F2" s="3"/>
      <c r="G2" s="8" t="s">
        <v>9</v>
      </c>
      <c r="H2" s="3"/>
      <c r="I2" s="4"/>
      <c r="J2" s="1"/>
      <c r="K2" s="1"/>
      <c r="L2" s="1"/>
      <c r="M2" s="1"/>
      <c r="N2" s="1"/>
      <c r="O2" s="1"/>
      <c r="P2" s="1"/>
    </row>
    <row r="3" spans="2:16" ht="15.6" x14ac:dyDescent="0.4">
      <c r="B3" s="5" t="s">
        <v>1</v>
      </c>
      <c r="C3" s="9" t="s">
        <v>5</v>
      </c>
      <c r="D3" s="2" t="s">
        <v>6</v>
      </c>
      <c r="E3" s="2" t="s">
        <v>7</v>
      </c>
      <c r="F3" s="5" t="s">
        <v>8</v>
      </c>
      <c r="G3" s="9" t="s">
        <v>10</v>
      </c>
      <c r="H3" s="2" t="s">
        <v>11</v>
      </c>
      <c r="I3" s="2" t="s">
        <v>12</v>
      </c>
      <c r="J3" s="1"/>
      <c r="K3" s="1"/>
      <c r="L3" s="1"/>
      <c r="M3" s="1"/>
      <c r="N3" s="1"/>
      <c r="O3" s="1"/>
      <c r="P3" s="1"/>
    </row>
    <row r="4" spans="2:16" ht="15.6" x14ac:dyDescent="0.4">
      <c r="B4" s="5" t="s">
        <v>2</v>
      </c>
      <c r="C4" s="9" t="s">
        <v>3</v>
      </c>
      <c r="D4" s="2" t="s">
        <v>3</v>
      </c>
      <c r="E4" s="2" t="s">
        <v>3</v>
      </c>
      <c r="F4" s="5" t="s">
        <v>3</v>
      </c>
      <c r="G4" s="9" t="s">
        <v>3</v>
      </c>
      <c r="H4" s="2" t="s">
        <v>3</v>
      </c>
      <c r="I4" s="2" t="s">
        <v>3</v>
      </c>
      <c r="J4" s="1"/>
      <c r="K4" s="1"/>
      <c r="L4" s="1"/>
      <c r="M4" s="1"/>
      <c r="N4" s="1"/>
      <c r="O4" s="1"/>
      <c r="P4" s="1"/>
    </row>
    <row r="5" spans="2:16" ht="15.6" x14ac:dyDescent="0.4">
      <c r="B5" s="6">
        <v>-32</v>
      </c>
      <c r="C5" s="10"/>
      <c r="D5" s="11"/>
      <c r="E5" s="11"/>
      <c r="F5" s="12"/>
      <c r="G5" s="10"/>
      <c r="H5" s="11"/>
      <c r="I5" s="11"/>
    </row>
    <row r="6" spans="2:16" ht="15.6" x14ac:dyDescent="0.4">
      <c r="B6" s="6">
        <v>-30</v>
      </c>
      <c r="C6" s="10"/>
      <c r="D6" s="11"/>
      <c r="E6" s="11"/>
      <c r="F6" s="12"/>
      <c r="G6" s="10"/>
      <c r="H6" s="11"/>
      <c r="I6" s="11"/>
    </row>
    <row r="7" spans="2:16" ht="15.6" x14ac:dyDescent="0.4">
      <c r="B7" s="6">
        <v>-28</v>
      </c>
      <c r="C7" s="10"/>
      <c r="D7" s="11"/>
      <c r="E7" s="11"/>
      <c r="F7" s="12"/>
      <c r="G7" s="10"/>
      <c r="H7" s="11"/>
      <c r="I7" s="11"/>
    </row>
    <row r="8" spans="2:16" ht="15.6" x14ac:dyDescent="0.4">
      <c r="B8" s="6">
        <v>-26</v>
      </c>
      <c r="C8" s="10"/>
      <c r="D8" s="11"/>
      <c r="E8" s="11"/>
      <c r="F8" s="12"/>
      <c r="G8" s="10"/>
      <c r="H8" s="11"/>
      <c r="I8" s="11"/>
    </row>
    <row r="9" spans="2:16" ht="15.6" x14ac:dyDescent="0.4">
      <c r="B9" s="6">
        <v>-24</v>
      </c>
      <c r="C9" s="10"/>
      <c r="D9" s="11"/>
      <c r="E9" s="11"/>
      <c r="F9" s="12"/>
      <c r="G9" s="10"/>
      <c r="H9" s="11"/>
      <c r="I9" s="11"/>
    </row>
    <row r="10" spans="2:16" ht="15.6" x14ac:dyDescent="0.4">
      <c r="B10" s="6">
        <v>-22</v>
      </c>
      <c r="C10" s="10"/>
      <c r="D10" s="11"/>
      <c r="E10" s="11"/>
      <c r="F10" s="12"/>
      <c r="G10" s="10"/>
      <c r="H10" s="11"/>
      <c r="I10" s="11"/>
    </row>
    <row r="11" spans="2:16" ht="15.6" x14ac:dyDescent="0.4">
      <c r="B11" s="6">
        <v>-20</v>
      </c>
      <c r="C11" s="10"/>
      <c r="D11" s="11"/>
      <c r="E11" s="11"/>
      <c r="F11" s="12"/>
      <c r="G11" s="10"/>
      <c r="H11" s="11"/>
      <c r="I11" s="11"/>
    </row>
    <row r="12" spans="2:16" ht="15.6" x14ac:dyDescent="0.4">
      <c r="B12" s="6">
        <v>-18</v>
      </c>
      <c r="C12" s="10"/>
      <c r="D12" s="11"/>
      <c r="E12" s="11"/>
      <c r="F12" s="12"/>
      <c r="G12" s="10"/>
      <c r="H12" s="11"/>
      <c r="I12" s="11"/>
    </row>
    <row r="13" spans="2:16" ht="15.6" x14ac:dyDescent="0.4">
      <c r="B13" s="6">
        <v>-16</v>
      </c>
      <c r="C13" s="10">
        <v>-0.3</v>
      </c>
      <c r="D13" s="11"/>
      <c r="E13" s="11"/>
      <c r="F13" s="12"/>
      <c r="G13" s="10"/>
      <c r="H13" s="11"/>
      <c r="I13" s="11"/>
    </row>
    <row r="14" spans="2:16" ht="15.6" x14ac:dyDescent="0.4">
      <c r="B14" s="6">
        <v>-14</v>
      </c>
      <c r="C14" s="10">
        <v>0</v>
      </c>
      <c r="D14" s="11"/>
      <c r="E14" s="11"/>
      <c r="F14" s="12"/>
      <c r="G14" s="10"/>
      <c r="H14" s="11"/>
      <c r="I14" s="11"/>
    </row>
    <row r="15" spans="2:16" ht="15.6" x14ac:dyDescent="0.4">
      <c r="B15" s="6">
        <v>-12</v>
      </c>
      <c r="C15" s="10">
        <v>0.25</v>
      </c>
      <c r="D15" s="11">
        <v>0.2</v>
      </c>
      <c r="E15" s="11"/>
      <c r="F15" s="12">
        <v>-1.06</v>
      </c>
      <c r="G15" s="10"/>
      <c r="H15" s="11"/>
      <c r="I15" s="11"/>
    </row>
    <row r="16" spans="2:16" ht="15.6" x14ac:dyDescent="0.4">
      <c r="B16" s="6">
        <v>-10</v>
      </c>
      <c r="C16" s="10">
        <v>0.5</v>
      </c>
      <c r="D16" s="11">
        <v>0.45</v>
      </c>
      <c r="E16" s="11">
        <v>-0.8</v>
      </c>
      <c r="F16" s="12">
        <f>E16-0.02</f>
        <v>-0.82000000000000006</v>
      </c>
      <c r="G16" s="10"/>
      <c r="H16" s="11"/>
      <c r="I16" s="11"/>
    </row>
    <row r="17" spans="2:9" ht="15.6" x14ac:dyDescent="0.4">
      <c r="B17" s="6">
        <v>-8</v>
      </c>
      <c r="C17" s="10">
        <v>0.75</v>
      </c>
      <c r="D17" s="11">
        <v>0.7</v>
      </c>
      <c r="E17" s="11">
        <v>-0.55000000000000004</v>
      </c>
      <c r="F17" s="12">
        <f t="shared" ref="F17:F26" si="0">E17-0.02</f>
        <v>-0.57000000000000006</v>
      </c>
      <c r="G17" s="10"/>
      <c r="H17" s="11"/>
      <c r="I17" s="11"/>
    </row>
    <row r="18" spans="2:9" ht="15.6" x14ac:dyDescent="0.4">
      <c r="B18" s="6">
        <v>-6</v>
      </c>
      <c r="C18" s="10">
        <v>1</v>
      </c>
      <c r="D18" s="11">
        <v>0.94</v>
      </c>
      <c r="E18" s="11">
        <v>-0.32</v>
      </c>
      <c r="F18" s="12">
        <f t="shared" si="0"/>
        <v>-0.34</v>
      </c>
      <c r="G18" s="10"/>
      <c r="H18" s="11"/>
      <c r="I18" s="11"/>
    </row>
    <row r="19" spans="2:9" ht="15.6" x14ac:dyDescent="0.4">
      <c r="B19" s="6">
        <v>-4</v>
      </c>
      <c r="C19" s="10">
        <v>1.25</v>
      </c>
      <c r="D19" s="11">
        <v>1.1850000000000001</v>
      </c>
      <c r="E19" s="11">
        <v>-0.11</v>
      </c>
      <c r="F19" s="12">
        <f t="shared" si="0"/>
        <v>-0.13</v>
      </c>
      <c r="G19" s="10"/>
      <c r="H19" s="11"/>
      <c r="I19" s="11"/>
    </row>
    <row r="20" spans="2:9" ht="15.6" x14ac:dyDescent="0.4">
      <c r="B20" s="6">
        <v>-2</v>
      </c>
      <c r="C20" s="10">
        <v>1.45</v>
      </c>
      <c r="D20" s="11">
        <v>1.38</v>
      </c>
      <c r="E20" s="11">
        <v>0.1</v>
      </c>
      <c r="F20" s="12">
        <f t="shared" si="0"/>
        <v>0.08</v>
      </c>
      <c r="G20" s="10"/>
      <c r="H20" s="11"/>
      <c r="I20" s="11"/>
    </row>
    <row r="21" spans="2:9" ht="15.6" x14ac:dyDescent="0.4">
      <c r="B21" s="6">
        <v>0</v>
      </c>
      <c r="C21" s="10">
        <v>1.66</v>
      </c>
      <c r="D21" s="11">
        <v>1.6</v>
      </c>
      <c r="E21" s="11">
        <v>0.32</v>
      </c>
      <c r="F21" s="12">
        <f t="shared" si="0"/>
        <v>0.3</v>
      </c>
      <c r="G21" s="10"/>
      <c r="H21" s="11"/>
      <c r="I21" s="11"/>
    </row>
    <row r="22" spans="2:9" ht="15.6" x14ac:dyDescent="0.4">
      <c r="B22" s="6">
        <v>2</v>
      </c>
      <c r="C22" s="10">
        <v>1.87</v>
      </c>
      <c r="D22" s="11">
        <v>1.81</v>
      </c>
      <c r="E22" s="11">
        <v>0.55000000000000004</v>
      </c>
      <c r="F22" s="12">
        <f t="shared" si="0"/>
        <v>0.53</v>
      </c>
      <c r="G22" s="10"/>
      <c r="H22" s="11"/>
      <c r="I22" s="11"/>
    </row>
    <row r="23" spans="2:9" ht="15.6" x14ac:dyDescent="0.4">
      <c r="B23" s="6">
        <v>4</v>
      </c>
      <c r="C23" s="10">
        <v>2.08</v>
      </c>
      <c r="D23" s="11">
        <v>2.02</v>
      </c>
      <c r="E23" s="11">
        <v>0.76500000000000001</v>
      </c>
      <c r="F23" s="12">
        <f t="shared" si="0"/>
        <v>0.745</v>
      </c>
      <c r="G23" s="10"/>
      <c r="H23" s="11"/>
      <c r="I23" s="11"/>
    </row>
    <row r="24" spans="2:9" ht="15.6" x14ac:dyDescent="0.4">
      <c r="B24" s="7">
        <v>6</v>
      </c>
      <c r="C24" s="10">
        <v>2.2599999999999998</v>
      </c>
      <c r="D24" s="11">
        <v>2.17</v>
      </c>
      <c r="E24" s="11">
        <v>0.95</v>
      </c>
      <c r="F24" s="12">
        <f>E24-0.03</f>
        <v>0.91999999999999993</v>
      </c>
      <c r="G24" s="10"/>
      <c r="H24" s="11"/>
      <c r="I24" s="11"/>
    </row>
    <row r="25" spans="2:9" ht="15.6" x14ac:dyDescent="0.4">
      <c r="B25" s="7">
        <v>7</v>
      </c>
      <c r="C25" s="10">
        <v>2.35</v>
      </c>
      <c r="D25" s="11">
        <v>2.1</v>
      </c>
      <c r="E25" s="11">
        <v>1.05</v>
      </c>
      <c r="F25" s="12">
        <f>E25-0.05</f>
        <v>1</v>
      </c>
      <c r="G25" s="10"/>
      <c r="H25" s="11"/>
      <c r="I25" s="11"/>
    </row>
    <row r="26" spans="2:9" ht="15.6" x14ac:dyDescent="0.4">
      <c r="B26" s="7">
        <v>8</v>
      </c>
      <c r="C26" s="10">
        <v>2.4300000000000002</v>
      </c>
      <c r="D26" s="11">
        <v>1.96</v>
      </c>
      <c r="E26" s="11">
        <v>1.1499999999999999</v>
      </c>
      <c r="F26" s="12">
        <v>1.05</v>
      </c>
      <c r="G26" s="10"/>
      <c r="H26" s="11"/>
      <c r="I26" s="11"/>
    </row>
    <row r="27" spans="2:9" ht="15.6" x14ac:dyDescent="0.4">
      <c r="B27" s="7">
        <v>9</v>
      </c>
      <c r="C27" s="10">
        <v>2.52</v>
      </c>
      <c r="D27" s="11">
        <v>1.86</v>
      </c>
      <c r="E27" s="11">
        <v>1.25</v>
      </c>
      <c r="F27" s="12">
        <v>1.1200000000000001</v>
      </c>
      <c r="G27" s="10"/>
      <c r="H27" s="11"/>
      <c r="I27" s="11"/>
    </row>
    <row r="28" spans="2:9" ht="15.6" x14ac:dyDescent="0.4">
      <c r="B28" s="7">
        <v>10</v>
      </c>
      <c r="C28" s="10">
        <v>2.57</v>
      </c>
      <c r="D28" s="11"/>
      <c r="E28" s="11">
        <v>1.34</v>
      </c>
      <c r="F28" s="12">
        <v>1.18</v>
      </c>
      <c r="G28" s="10"/>
      <c r="H28" s="11"/>
      <c r="I28" s="11"/>
    </row>
    <row r="29" spans="2:9" ht="15.6" x14ac:dyDescent="0.4">
      <c r="B29" s="7">
        <v>11</v>
      </c>
      <c r="C29" s="10">
        <v>2.6</v>
      </c>
      <c r="D29" s="11"/>
      <c r="E29" s="11">
        <v>1.43</v>
      </c>
      <c r="F29" s="12">
        <v>1.21</v>
      </c>
      <c r="G29" s="10"/>
      <c r="H29" s="11"/>
      <c r="I29" s="11"/>
    </row>
    <row r="30" spans="2:9" ht="15.6" x14ac:dyDescent="0.4">
      <c r="B30" s="7">
        <v>12</v>
      </c>
      <c r="C30" s="10">
        <v>2.5299999999999998</v>
      </c>
      <c r="D30" s="11"/>
      <c r="E30" s="11">
        <v>1.49</v>
      </c>
      <c r="F30" s="12">
        <v>1.23</v>
      </c>
      <c r="G30" s="10"/>
      <c r="H30" s="11"/>
      <c r="I30" s="11"/>
    </row>
    <row r="31" spans="2:9" ht="15.6" x14ac:dyDescent="0.4">
      <c r="B31" s="7">
        <v>13</v>
      </c>
      <c r="C31" s="10">
        <v>2.4500000000000002</v>
      </c>
      <c r="D31" s="11"/>
      <c r="E31" s="11">
        <v>1.53</v>
      </c>
      <c r="F31" s="12">
        <v>1.24</v>
      </c>
      <c r="G31" s="10"/>
      <c r="H31" s="11"/>
      <c r="I31" s="11"/>
    </row>
    <row r="32" spans="2:9" ht="15.6" x14ac:dyDescent="0.4">
      <c r="B32" s="7">
        <v>14</v>
      </c>
      <c r="C32" s="10"/>
      <c r="D32" s="11"/>
      <c r="E32" s="11">
        <v>1.58</v>
      </c>
      <c r="F32" s="12">
        <v>1.23</v>
      </c>
      <c r="G32" s="10"/>
      <c r="H32" s="11"/>
      <c r="I32" s="11"/>
    </row>
    <row r="33" spans="2:9" ht="15.6" x14ac:dyDescent="0.4">
      <c r="B33" s="7">
        <v>15</v>
      </c>
      <c r="C33" s="10"/>
      <c r="D33" s="11"/>
      <c r="E33" s="11">
        <v>1.61</v>
      </c>
      <c r="F33" s="12">
        <v>1.1000000000000001</v>
      </c>
      <c r="G33" s="10"/>
      <c r="H33" s="11"/>
      <c r="I33" s="11"/>
    </row>
    <row r="34" spans="2:9" ht="15.6" x14ac:dyDescent="0.4">
      <c r="B34" s="7">
        <v>16</v>
      </c>
      <c r="C34" s="10"/>
      <c r="D34" s="11"/>
      <c r="E34" s="11">
        <v>1.595</v>
      </c>
      <c r="F34" s="12"/>
      <c r="G34" s="10"/>
      <c r="H34" s="11"/>
      <c r="I34" s="11"/>
    </row>
    <row r="35" spans="2:9" ht="15.6" x14ac:dyDescent="0.4">
      <c r="B35" s="6">
        <v>18</v>
      </c>
      <c r="C35" s="10"/>
      <c r="D35" s="11"/>
      <c r="E35" s="11">
        <v>1.56</v>
      </c>
      <c r="F35" s="12"/>
      <c r="G35" s="10"/>
      <c r="H35" s="11"/>
      <c r="I35" s="11"/>
    </row>
    <row r="36" spans="2:9" ht="15.6" x14ac:dyDescent="0.4">
      <c r="B36" s="6">
        <v>20</v>
      </c>
      <c r="C36" s="10"/>
      <c r="D36" s="11"/>
      <c r="E36" s="11">
        <v>1.46</v>
      </c>
      <c r="F36" s="12"/>
      <c r="G36" s="10"/>
      <c r="H36" s="11"/>
      <c r="I36" s="11"/>
    </row>
    <row r="37" spans="2:9" ht="15.6" x14ac:dyDescent="0.4">
      <c r="B37" s="6">
        <v>22</v>
      </c>
      <c r="C37" s="10"/>
      <c r="D37" s="11"/>
      <c r="E37" s="11">
        <v>1.1599999999999999</v>
      </c>
      <c r="F37" s="12"/>
      <c r="G37" s="10"/>
      <c r="H37" s="11"/>
      <c r="I37" s="11"/>
    </row>
    <row r="38" spans="2:9" ht="15.6" x14ac:dyDescent="0.4">
      <c r="B38" s="6">
        <v>24</v>
      </c>
      <c r="C38" s="13"/>
      <c r="D38" s="14"/>
      <c r="E38" s="14">
        <v>1.04</v>
      </c>
      <c r="F38" s="15"/>
      <c r="G38" s="13"/>
      <c r="H38" s="14"/>
      <c r="I38" s="14"/>
    </row>
    <row r="39" spans="2:9" ht="15.6" x14ac:dyDescent="0.4">
      <c r="B39" s="6">
        <v>26</v>
      </c>
      <c r="C39" s="13"/>
      <c r="D39" s="14"/>
      <c r="E39" s="14"/>
      <c r="F39" s="15"/>
      <c r="G39" s="13"/>
      <c r="H39" s="14"/>
      <c r="I39" s="14"/>
    </row>
    <row r="40" spans="2:9" ht="15.6" x14ac:dyDescent="0.4">
      <c r="B40" s="6">
        <v>28</v>
      </c>
      <c r="C40" s="13"/>
      <c r="D40" s="14"/>
      <c r="E40" s="14"/>
      <c r="F40" s="15"/>
      <c r="G40" s="13"/>
      <c r="H40" s="14"/>
      <c r="I40" s="14"/>
    </row>
    <row r="41" spans="2:9" ht="15.6" x14ac:dyDescent="0.4">
      <c r="B41" s="6">
        <v>30</v>
      </c>
      <c r="C41" s="13"/>
      <c r="D41" s="14"/>
      <c r="E41" s="14"/>
      <c r="F41" s="15"/>
      <c r="G41" s="13"/>
      <c r="H41" s="14"/>
      <c r="I41" s="14"/>
    </row>
    <row r="42" spans="2:9" ht="15.6" x14ac:dyDescent="0.4">
      <c r="B42" s="6">
        <v>32</v>
      </c>
      <c r="C42" s="13"/>
      <c r="D42" s="14"/>
      <c r="E42" s="14"/>
      <c r="F42" s="15"/>
      <c r="G42" s="13"/>
      <c r="H42" s="14"/>
      <c r="I42" s="14"/>
    </row>
  </sheetData>
  <mergeCells count="2">
    <mergeCell ref="C2:F2"/>
    <mergeCell ref="G2:I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Polare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Wolff</dc:creator>
  <cp:lastModifiedBy>Phillip Wolff</cp:lastModifiedBy>
  <dcterms:created xsi:type="dcterms:W3CDTF">2026-02-08T15:58:33Z</dcterms:created>
  <dcterms:modified xsi:type="dcterms:W3CDTF">2026-02-08T17:09:25Z</dcterms:modified>
</cp:coreProperties>
</file>
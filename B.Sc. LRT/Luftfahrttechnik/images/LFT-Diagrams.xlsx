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B.Sc. LRT\Luftfahrttechnik\images\"/>
    </mc:Choice>
  </mc:AlternateContent>
  <xr:revisionPtr revIDLastSave="0" documentId="13_ncr:1_{4FF1033F-5986-4CA5-A2BF-FF75D812A299}" xr6:coauthVersionLast="47" xr6:coauthVersionMax="47" xr10:uidLastSave="{00000000-0000-0000-0000-000000000000}"/>
  <bookViews>
    <workbookView xWindow="-108" yWindow="-108" windowWidth="46296" windowHeight="18696" xr2:uid="{F5029501-488A-4985-9362-6A3818127A25}"/>
  </bookViews>
  <sheets>
    <sheet name="Polar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31" i="1"/>
  <c r="G29" i="1"/>
  <c r="G27" i="1"/>
  <c r="G25" i="1"/>
  <c r="G16" i="1"/>
  <c r="E45" i="1"/>
  <c r="E46" i="1" s="1"/>
  <c r="E47" i="1" s="1"/>
  <c r="E48" i="1" s="1"/>
  <c r="E49" i="1" s="1"/>
  <c r="F25" i="1"/>
  <c r="F24" i="1"/>
  <c r="F17" i="1"/>
  <c r="F18" i="1"/>
  <c r="F19" i="1"/>
  <c r="F20" i="1"/>
  <c r="F21" i="1"/>
  <c r="F22" i="1"/>
  <c r="F23" i="1"/>
  <c r="F16" i="1"/>
</calcChain>
</file>

<file path=xl/sharedStrings.xml><?xml version="1.0" encoding="utf-8"?>
<sst xmlns="http://schemas.openxmlformats.org/spreadsheetml/2006/main" count="27" uniqueCount="17">
  <si>
    <t>AoA</t>
  </si>
  <si>
    <t>α</t>
  </si>
  <si>
    <t>DEG</t>
  </si>
  <si>
    <t>-</t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</si>
  <si>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L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</si>
  <si>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L1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</si>
  <si>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L2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</si>
  <si>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L3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</si>
  <si>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L4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</si>
  <si>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M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</si>
  <si>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M1</t>
    </r>
  </si>
  <si>
    <r>
      <t>NACA 65</t>
    </r>
    <r>
      <rPr>
        <vertAlign val="subscript"/>
        <sz val="11"/>
        <color theme="0"/>
        <rFont val="CMU Serif"/>
      </rPr>
      <t>2</t>
    </r>
    <r>
      <rPr>
        <sz val="11"/>
        <color theme="0"/>
        <rFont val="CMU Serif"/>
      </rPr>
      <t>-415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</si>
  <si>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M4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</si>
  <si>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W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</si>
  <si>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W1</t>
    </r>
  </si>
  <si>
    <r>
      <rPr>
        <i/>
        <sz val="11"/>
        <color theme="0"/>
        <rFont val="CMU Serif"/>
      </rPr>
      <t>C</t>
    </r>
    <r>
      <rPr>
        <vertAlign val="subscript"/>
        <sz val="11"/>
        <color theme="0"/>
        <rFont val="CMU Serif"/>
      </rPr>
      <t>W2</t>
    </r>
  </si>
  <si>
    <t>Fixpunkte (Legende)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</si>
</sst>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MU Serif"/>
    </font>
    <font>
      <sz val="11"/>
      <color theme="0"/>
      <name val="CMU Serif"/>
    </font>
    <font>
      <vertAlign val="subscript"/>
      <sz val="11"/>
      <color theme="0"/>
      <name val="CMU Serif"/>
    </font>
    <font>
      <i/>
      <sz val="11"/>
      <color theme="0"/>
      <name val="CMU Serif"/>
    </font>
    <font>
      <b/>
      <sz val="11"/>
      <color theme="1"/>
      <name val="CMU Serif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3" borderId="2" xfId="0" applyFont="1" applyFill="1" applyBorder="1"/>
    <xf numFmtId="0" fontId="5" fillId="4" borderId="2" xfId="0" applyFont="1" applyFill="1" applyBorder="1"/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 applyBorder="1"/>
    <xf numFmtId="2" fontId="1" fillId="0" borderId="6" xfId="0" applyNumberFormat="1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169" fontId="1" fillId="0" borderId="5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20760611749726"/>
          <c:y val="0.60574527448861204"/>
          <c:w val="0.74753520993643419"/>
          <c:h val="0.3291158337561170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Polare!$J$3</c:f>
              <c:strCache>
                <c:ptCount val="1"/>
                <c:pt idx="0">
                  <c:v>CM4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diamond"/>
            <c:size val="7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</c:spPr>
          </c:marker>
          <c:xVal>
            <c:numRef>
              <c:f>Polare!$I$5:$I$42</c:f>
              <c:numCache>
                <c:formatCode>0.00</c:formatCode>
                <c:ptCount val="38"/>
                <c:pt idx="8">
                  <c:v>-1.6</c:v>
                </c:pt>
                <c:pt idx="9">
                  <c:v>-1.4</c:v>
                </c:pt>
                <c:pt idx="10">
                  <c:v>-1.2</c:v>
                </c:pt>
                <c:pt idx="11">
                  <c:v>-0.999999999999999</c:v>
                </c:pt>
                <c:pt idx="12">
                  <c:v>-0.79999999999999905</c:v>
                </c:pt>
                <c:pt idx="13">
                  <c:v>-0.6</c:v>
                </c:pt>
                <c:pt idx="14">
                  <c:v>-0.4</c:v>
                </c:pt>
                <c:pt idx="15">
                  <c:v>-0.2</c:v>
                </c:pt>
                <c:pt idx="16">
                  <c:v>0</c:v>
                </c:pt>
                <c:pt idx="17">
                  <c:v>0.2</c:v>
                </c:pt>
                <c:pt idx="18">
                  <c:v>0.4</c:v>
                </c:pt>
                <c:pt idx="19">
                  <c:v>0.6</c:v>
                </c:pt>
                <c:pt idx="20">
                  <c:v>0.8</c:v>
                </c:pt>
                <c:pt idx="21">
                  <c:v>1</c:v>
                </c:pt>
                <c:pt idx="22">
                  <c:v>1.2</c:v>
                </c:pt>
                <c:pt idx="23">
                  <c:v>1.4</c:v>
                </c:pt>
                <c:pt idx="24">
                  <c:v>1.6</c:v>
                </c:pt>
              </c:numCache>
            </c:numRef>
          </c:xVal>
          <c:yVal>
            <c:numRef>
              <c:f>Polare!$J$5:$J$42</c:f>
              <c:numCache>
                <c:formatCode>0.00</c:formatCode>
                <c:ptCount val="38"/>
                <c:pt idx="14">
                  <c:v>-6.5000000000000002E-2</c:v>
                </c:pt>
                <c:pt idx="15">
                  <c:v>-6.4000000000000001E-2</c:v>
                </c:pt>
                <c:pt idx="16">
                  <c:v>-6.4600000000000005E-2</c:v>
                </c:pt>
                <c:pt idx="17">
                  <c:v>-6.4600000000000005E-2</c:v>
                </c:pt>
                <c:pt idx="18">
                  <c:v>-6.7000000000000004E-2</c:v>
                </c:pt>
                <c:pt idx="19">
                  <c:v>-6.7000000000000004E-2</c:v>
                </c:pt>
                <c:pt idx="20">
                  <c:v>-6.7000000000000004E-2</c:v>
                </c:pt>
                <c:pt idx="21">
                  <c:v>-6.7400000000000002E-2</c:v>
                </c:pt>
                <c:pt idx="22">
                  <c:v>-6.7500000000000004E-2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36C-4E84-B2C5-9BA4B73218D4}"/>
            </c:ext>
          </c:extLst>
        </c:ser>
        <c:ser>
          <c:idx val="1"/>
          <c:order val="1"/>
          <c:tx>
            <c:v>zero</c:v>
          </c:tx>
          <c:marker>
            <c:symbol val="star"/>
            <c:size val="9"/>
            <c:spPr>
              <a:noFill/>
              <a:ln>
                <a:solidFill>
                  <a:schemeClr val="tx1"/>
                </a:solidFill>
              </a:ln>
            </c:spPr>
          </c:marker>
          <c:xVal>
            <c:numRef>
              <c:f>Polare!$F$50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Polare!$E$50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36C-4E84-B2C5-9BA4B7321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1.6"/>
          <c:min val="-1.6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4"/>
        <c:minorUnit val="0.1"/>
      </c:valAx>
      <c:valAx>
        <c:axId val="1903764864"/>
        <c:scaling>
          <c:orientation val="minMax"/>
          <c:max val="0"/>
          <c:min val="-0.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1"/>
        <c:minorUnit val="2.5000000000000005E-2"/>
      </c:valAx>
      <c:spPr>
        <a:ln cap="rnd">
          <a:solidFill>
            <a:schemeClr val="bg1">
              <a:lumMod val="75000"/>
            </a:schemeClr>
          </a:solidFill>
        </a:ln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noFill/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20760611749726"/>
          <c:y val="1.4263804002592629E-2"/>
          <c:w val="0.74753520993643419"/>
          <c:h val="0.5884145826658647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Polare!$F$3</c:f>
              <c:strCache>
                <c:ptCount val="1"/>
                <c:pt idx="0">
                  <c:v>CL4</c:v>
                </c:pt>
              </c:strCache>
            </c:strRef>
          </c:tx>
          <c:xVal>
            <c:numRef>
              <c:f>Polare!$B$5:$B$42</c:f>
              <c:numCache>
                <c:formatCode>General</c:formatCode>
                <c:ptCount val="38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  <c:pt idx="33">
                  <c:v>24</c:v>
                </c:pt>
                <c:pt idx="34">
                  <c:v>26</c:v>
                </c:pt>
                <c:pt idx="35">
                  <c:v>28</c:v>
                </c:pt>
                <c:pt idx="36">
                  <c:v>30</c:v>
                </c:pt>
                <c:pt idx="37">
                  <c:v>32</c:v>
                </c:pt>
              </c:numCache>
            </c:numRef>
          </c:xVal>
          <c:yVal>
            <c:numRef>
              <c:f>Polare!$F$5:$F$42</c:f>
              <c:numCache>
                <c:formatCode>0.00</c:formatCode>
                <c:ptCount val="38"/>
                <c:pt idx="10">
                  <c:v>-1.06</c:v>
                </c:pt>
                <c:pt idx="11">
                  <c:v>-0.82000000000000006</c:v>
                </c:pt>
                <c:pt idx="12">
                  <c:v>-0.57000000000000006</c:v>
                </c:pt>
                <c:pt idx="13">
                  <c:v>-0.34</c:v>
                </c:pt>
                <c:pt idx="14">
                  <c:v>-0.13</c:v>
                </c:pt>
                <c:pt idx="15">
                  <c:v>0.08</c:v>
                </c:pt>
                <c:pt idx="16">
                  <c:v>0.3</c:v>
                </c:pt>
                <c:pt idx="17">
                  <c:v>0.53</c:v>
                </c:pt>
                <c:pt idx="18">
                  <c:v>0.745</c:v>
                </c:pt>
                <c:pt idx="19">
                  <c:v>0.91999999999999993</c:v>
                </c:pt>
                <c:pt idx="20">
                  <c:v>1</c:v>
                </c:pt>
                <c:pt idx="21">
                  <c:v>1.05</c:v>
                </c:pt>
                <c:pt idx="22">
                  <c:v>1.1200000000000001</c:v>
                </c:pt>
                <c:pt idx="23">
                  <c:v>1.18</c:v>
                </c:pt>
                <c:pt idx="24">
                  <c:v>1.21</c:v>
                </c:pt>
                <c:pt idx="25">
                  <c:v>1.23</c:v>
                </c:pt>
                <c:pt idx="26">
                  <c:v>1.24</c:v>
                </c:pt>
                <c:pt idx="27">
                  <c:v>1.23</c:v>
                </c:pt>
                <c:pt idx="28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18-4B94-9174-F7C613A1BBEE}"/>
            </c:ext>
          </c:extLst>
        </c:ser>
        <c:ser>
          <c:idx val="1"/>
          <c:order val="1"/>
          <c:tx>
            <c:v>zero</c:v>
          </c:tx>
          <c:spPr>
            <a:ln>
              <a:solidFill>
                <a:schemeClr val="tx1"/>
              </a:solidFill>
            </a:ln>
          </c:spPr>
          <c:marker>
            <c:symbol val="star"/>
            <c:size val="9"/>
            <c:spPr>
              <a:noFill/>
              <a:ln>
                <a:solidFill>
                  <a:schemeClr val="tx1"/>
                </a:solidFill>
              </a:ln>
            </c:spPr>
          </c:marker>
          <c:xVal>
            <c:numRef>
              <c:f>Polare!$F$50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Polare!$E$50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18-4B94-9174-F7C613A1BBEE}"/>
            </c:ext>
          </c:extLst>
        </c:ser>
        <c:ser>
          <c:idx val="2"/>
          <c:order val="2"/>
          <c:tx>
            <c:strRef>
              <c:f>Polare!$K$3</c:f>
              <c:strCache>
                <c:ptCount val="1"/>
                <c:pt idx="0">
                  <c:v>CW1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circle"/>
            <c:size val="7"/>
            <c:spPr>
              <a:solidFill>
                <a:schemeClr val="accent5"/>
              </a:solidFill>
              <a:ln>
                <a:noFill/>
              </a:ln>
            </c:spPr>
          </c:marker>
          <c:xVal>
            <c:numRef>
              <c:f>Polare!$I$5:$I$42</c:f>
              <c:numCache>
                <c:formatCode>0.00</c:formatCode>
                <c:ptCount val="38"/>
                <c:pt idx="8">
                  <c:v>-1.6</c:v>
                </c:pt>
                <c:pt idx="9">
                  <c:v>-1.4</c:v>
                </c:pt>
                <c:pt idx="10">
                  <c:v>-1.2</c:v>
                </c:pt>
                <c:pt idx="11">
                  <c:v>-0.999999999999999</c:v>
                </c:pt>
                <c:pt idx="12">
                  <c:v>-0.79999999999999905</c:v>
                </c:pt>
                <c:pt idx="13">
                  <c:v>-0.6</c:v>
                </c:pt>
                <c:pt idx="14">
                  <c:v>-0.4</c:v>
                </c:pt>
                <c:pt idx="15">
                  <c:v>-0.2</c:v>
                </c:pt>
                <c:pt idx="16">
                  <c:v>0</c:v>
                </c:pt>
                <c:pt idx="17">
                  <c:v>0.2</c:v>
                </c:pt>
                <c:pt idx="18">
                  <c:v>0.4</c:v>
                </c:pt>
                <c:pt idx="19">
                  <c:v>0.6</c:v>
                </c:pt>
                <c:pt idx="20">
                  <c:v>0.8</c:v>
                </c:pt>
                <c:pt idx="21">
                  <c:v>1</c:v>
                </c:pt>
                <c:pt idx="22">
                  <c:v>1.2</c:v>
                </c:pt>
                <c:pt idx="23">
                  <c:v>1.4</c:v>
                </c:pt>
                <c:pt idx="24">
                  <c:v>1.6</c:v>
                </c:pt>
              </c:numCache>
            </c:numRef>
          </c:xVal>
          <c:yVal>
            <c:numRef>
              <c:f>Polare!$K$5:$K$42</c:f>
              <c:numCache>
                <c:formatCode>0.0000</c:formatCode>
                <c:ptCount val="38"/>
                <c:pt idx="13">
                  <c:v>2.4500000000000001E-2</c:v>
                </c:pt>
                <c:pt idx="14">
                  <c:v>1.44E-2</c:v>
                </c:pt>
                <c:pt idx="15">
                  <c:v>1.1599999999999999E-2</c:v>
                </c:pt>
                <c:pt idx="16">
                  <c:v>1.06E-2</c:v>
                </c:pt>
                <c:pt idx="17">
                  <c:v>1.0200000000000001E-2</c:v>
                </c:pt>
                <c:pt idx="18">
                  <c:v>1.04E-2</c:v>
                </c:pt>
                <c:pt idx="19">
                  <c:v>1.1599999999999999E-2</c:v>
                </c:pt>
                <c:pt idx="20">
                  <c:v>1.4E-2</c:v>
                </c:pt>
                <c:pt idx="21">
                  <c:v>1.8599999999999998E-2</c:v>
                </c:pt>
                <c:pt idx="22">
                  <c:v>2.9000000000000001E-2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18-4B94-9174-F7C613A1BBEE}"/>
            </c:ext>
          </c:extLst>
        </c:ser>
        <c:ser>
          <c:idx val="3"/>
          <c:order val="3"/>
          <c:tx>
            <c:strRef>
              <c:f>Polare!$L$3</c:f>
              <c:strCache>
                <c:ptCount val="1"/>
                <c:pt idx="0">
                  <c:v>CW2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diamond"/>
            <c:size val="7"/>
            <c:spPr>
              <a:solidFill>
                <a:schemeClr val="accent5"/>
              </a:solidFill>
              <a:ln>
                <a:noFill/>
              </a:ln>
            </c:spPr>
          </c:marker>
          <c:xVal>
            <c:numRef>
              <c:f>Polare!$I$5:$I$42</c:f>
              <c:numCache>
                <c:formatCode>0.00</c:formatCode>
                <c:ptCount val="38"/>
                <c:pt idx="8">
                  <c:v>-1.6</c:v>
                </c:pt>
                <c:pt idx="9">
                  <c:v>-1.4</c:v>
                </c:pt>
                <c:pt idx="10">
                  <c:v>-1.2</c:v>
                </c:pt>
                <c:pt idx="11">
                  <c:v>-0.999999999999999</c:v>
                </c:pt>
                <c:pt idx="12">
                  <c:v>-0.79999999999999905</c:v>
                </c:pt>
                <c:pt idx="13">
                  <c:v>-0.6</c:v>
                </c:pt>
                <c:pt idx="14">
                  <c:v>-0.4</c:v>
                </c:pt>
                <c:pt idx="15">
                  <c:v>-0.2</c:v>
                </c:pt>
                <c:pt idx="16">
                  <c:v>0</c:v>
                </c:pt>
                <c:pt idx="17">
                  <c:v>0.2</c:v>
                </c:pt>
                <c:pt idx="18">
                  <c:v>0.4</c:v>
                </c:pt>
                <c:pt idx="19">
                  <c:v>0.6</c:v>
                </c:pt>
                <c:pt idx="20">
                  <c:v>0.8</c:v>
                </c:pt>
                <c:pt idx="21">
                  <c:v>1</c:v>
                </c:pt>
                <c:pt idx="22">
                  <c:v>1.2</c:v>
                </c:pt>
                <c:pt idx="23">
                  <c:v>1.4</c:v>
                </c:pt>
                <c:pt idx="24">
                  <c:v>1.6</c:v>
                </c:pt>
              </c:numCache>
            </c:numRef>
          </c:xVal>
          <c:yVal>
            <c:numRef>
              <c:f>Polare!$L$5:$L$42</c:f>
              <c:numCache>
                <c:formatCode>0.0000</c:formatCode>
                <c:ptCount val="38"/>
                <c:pt idx="13">
                  <c:v>1.0800000000000001E-2</c:v>
                </c:pt>
                <c:pt idx="14">
                  <c:v>9.4000000000000004E-3</c:v>
                </c:pt>
                <c:pt idx="15">
                  <c:v>8.2000000000000007E-3</c:v>
                </c:pt>
                <c:pt idx="16">
                  <c:v>6.7999999999999996E-3</c:v>
                </c:pt>
                <c:pt idx="17">
                  <c:v>5.1000000000000004E-3</c:v>
                </c:pt>
                <c:pt idx="18">
                  <c:v>4.7999999999999996E-3</c:v>
                </c:pt>
                <c:pt idx="19">
                  <c:v>5.3E-3</c:v>
                </c:pt>
                <c:pt idx="20">
                  <c:v>8.6E-3</c:v>
                </c:pt>
                <c:pt idx="21">
                  <c:v>1.2500000000000001E-2</c:v>
                </c:pt>
                <c:pt idx="22">
                  <c:v>1.78E-2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818-4B94-9174-F7C613A1B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1.6"/>
          <c:min val="-1.6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4"/>
        <c:minorUnit val="0.1"/>
      </c:valAx>
      <c:valAx>
        <c:axId val="1903764864"/>
        <c:scaling>
          <c:orientation val="minMax"/>
          <c:max val="3.6000000000000004E-2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4.000000000000001E-3"/>
        <c:minorUnit val="1.0000000000000002E-3"/>
      </c:valAx>
      <c:spPr>
        <a:noFill/>
        <a:ln cap="rnd">
          <a:noFill/>
        </a:ln>
      </c:spPr>
    </c:plotArea>
    <c:plotVisOnly val="1"/>
    <c:dispBlanksAs val="gap"/>
    <c:showDLblsOverMax val="0"/>
  </c:chart>
  <c:spPr>
    <a:noFill/>
    <a:ln w="9525" cap="rnd" cmpd="sng" algn="ctr">
      <a:noFill/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20760611749726"/>
          <c:y val="1.42637709334837E-2"/>
          <c:w val="0.74753520993643419"/>
          <c:h val="0.9205973591217101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Polare!$C$3</c:f>
              <c:strCache>
                <c:ptCount val="1"/>
                <c:pt idx="0">
                  <c:v>CL1</c:v>
                </c:pt>
              </c:strCache>
            </c:strRef>
          </c:tx>
          <c:spPr>
            <a:ln w="25400">
              <a:solidFill>
                <a:schemeClr val="accent4">
                  <a:lumMod val="75000"/>
                </a:schemeClr>
              </a:solidFill>
            </a:ln>
          </c:spPr>
          <c:marker>
            <c:symbol val="triangle"/>
            <c:size val="7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</c:spPr>
          </c:marker>
          <c:xVal>
            <c:numRef>
              <c:f>Polare!$B$5:$B$37</c:f>
              <c:numCache>
                <c:formatCode>General</c:formatCode>
                <c:ptCount val="33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</c:numCache>
            </c:numRef>
          </c:xVal>
          <c:yVal>
            <c:numRef>
              <c:f>Polare!$C$5:$C$37</c:f>
              <c:numCache>
                <c:formatCode>0.00</c:formatCode>
                <c:ptCount val="33"/>
                <c:pt idx="8">
                  <c:v>-0.3</c:v>
                </c:pt>
                <c:pt idx="9">
                  <c:v>0</c:v>
                </c:pt>
                <c:pt idx="10">
                  <c:v>0.25</c:v>
                </c:pt>
                <c:pt idx="11">
                  <c:v>0.5</c:v>
                </c:pt>
                <c:pt idx="12">
                  <c:v>0.75</c:v>
                </c:pt>
                <c:pt idx="13">
                  <c:v>1</c:v>
                </c:pt>
                <c:pt idx="14">
                  <c:v>1.25</c:v>
                </c:pt>
                <c:pt idx="15">
                  <c:v>1.45</c:v>
                </c:pt>
                <c:pt idx="16">
                  <c:v>1.66</c:v>
                </c:pt>
                <c:pt idx="17">
                  <c:v>1.87</c:v>
                </c:pt>
                <c:pt idx="18">
                  <c:v>2.08</c:v>
                </c:pt>
                <c:pt idx="19">
                  <c:v>2.2599999999999998</c:v>
                </c:pt>
                <c:pt idx="20">
                  <c:v>2.35</c:v>
                </c:pt>
                <c:pt idx="21">
                  <c:v>2.4300000000000002</c:v>
                </c:pt>
                <c:pt idx="22">
                  <c:v>2.52</c:v>
                </c:pt>
                <c:pt idx="23">
                  <c:v>2.57</c:v>
                </c:pt>
                <c:pt idx="24">
                  <c:v>2.6</c:v>
                </c:pt>
                <c:pt idx="25">
                  <c:v>2.5299999999999998</c:v>
                </c:pt>
                <c:pt idx="26">
                  <c:v>2.4500000000000002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1FED-47FC-9234-CB86D1DC8DAE}"/>
            </c:ext>
          </c:extLst>
        </c:ser>
        <c:ser>
          <c:idx val="5"/>
          <c:order val="1"/>
          <c:tx>
            <c:strRef>
              <c:f>Polare!$D$3</c:f>
              <c:strCache>
                <c:ptCount val="1"/>
                <c:pt idx="0">
                  <c:v>CL2</c:v>
                </c:pt>
              </c:strCache>
            </c:strRef>
          </c:tx>
          <c:spPr>
            <a:ln w="25400">
              <a:solidFill>
                <a:schemeClr val="accent4">
                  <a:lumMod val="75000"/>
                </a:schemeClr>
              </a:solidFill>
            </a:ln>
          </c:spPr>
          <c:marker>
            <c:symbol val="circle"/>
            <c:size val="7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</c:spPr>
          </c:marker>
          <c:xVal>
            <c:numRef>
              <c:f>Polare!$B$5:$B$37</c:f>
              <c:numCache>
                <c:formatCode>General</c:formatCode>
                <c:ptCount val="33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</c:numCache>
            </c:numRef>
          </c:xVal>
          <c:yVal>
            <c:numRef>
              <c:f>Polare!$D$5:$D$37</c:f>
              <c:numCache>
                <c:formatCode>0.00</c:formatCode>
                <c:ptCount val="33"/>
                <c:pt idx="10">
                  <c:v>0.2</c:v>
                </c:pt>
                <c:pt idx="11">
                  <c:v>0.45</c:v>
                </c:pt>
                <c:pt idx="12">
                  <c:v>0.7</c:v>
                </c:pt>
                <c:pt idx="13">
                  <c:v>0.94</c:v>
                </c:pt>
                <c:pt idx="14">
                  <c:v>1.1850000000000001</c:v>
                </c:pt>
                <c:pt idx="15">
                  <c:v>1.38</c:v>
                </c:pt>
                <c:pt idx="16">
                  <c:v>1.6</c:v>
                </c:pt>
                <c:pt idx="17">
                  <c:v>1.81</c:v>
                </c:pt>
                <c:pt idx="18">
                  <c:v>2.02</c:v>
                </c:pt>
                <c:pt idx="19">
                  <c:v>2.17</c:v>
                </c:pt>
                <c:pt idx="20">
                  <c:v>2.1</c:v>
                </c:pt>
                <c:pt idx="21">
                  <c:v>1.96</c:v>
                </c:pt>
                <c:pt idx="22">
                  <c:v>1.86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1FED-47FC-9234-CB86D1DC8DAE}"/>
            </c:ext>
          </c:extLst>
        </c:ser>
        <c:ser>
          <c:idx val="6"/>
          <c:order val="2"/>
          <c:tx>
            <c:strRef>
              <c:f>Polare!$E$3</c:f>
              <c:strCache>
                <c:ptCount val="1"/>
                <c:pt idx="0">
                  <c:v>CL3</c:v>
                </c:pt>
              </c:strCache>
            </c:strRef>
          </c:tx>
          <c:spPr>
            <a:ln>
              <a:solidFill>
                <a:schemeClr val="accent4">
                  <a:lumMod val="75000"/>
                </a:schemeClr>
              </a:solidFill>
            </a:ln>
          </c:spPr>
          <c:marker>
            <c:symbol val="square"/>
            <c:size val="6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</c:spPr>
          </c:marker>
          <c:dPt>
            <c:idx val="12"/>
            <c:bubble3D val="0"/>
            <c:spPr>
              <a:ln w="25400" cap="rnd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FED-47FC-9234-CB86D1DC8DAE}"/>
              </c:ext>
            </c:extLst>
          </c:dPt>
          <c:xVal>
            <c:numRef>
              <c:f>Polare!$B$5:$B$42</c:f>
              <c:numCache>
                <c:formatCode>General</c:formatCode>
                <c:ptCount val="38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  <c:pt idx="33">
                  <c:v>24</c:v>
                </c:pt>
                <c:pt idx="34">
                  <c:v>26</c:v>
                </c:pt>
                <c:pt idx="35">
                  <c:v>28</c:v>
                </c:pt>
                <c:pt idx="36">
                  <c:v>30</c:v>
                </c:pt>
                <c:pt idx="37">
                  <c:v>32</c:v>
                </c:pt>
              </c:numCache>
            </c:numRef>
          </c:xVal>
          <c:yVal>
            <c:numRef>
              <c:f>Polare!$E$5:$E$42</c:f>
              <c:numCache>
                <c:formatCode>0.00</c:formatCode>
                <c:ptCount val="38"/>
                <c:pt idx="11">
                  <c:v>-0.8</c:v>
                </c:pt>
                <c:pt idx="12">
                  <c:v>-0.55000000000000004</c:v>
                </c:pt>
                <c:pt idx="13">
                  <c:v>-0.32</c:v>
                </c:pt>
                <c:pt idx="14">
                  <c:v>-0.11</c:v>
                </c:pt>
                <c:pt idx="15">
                  <c:v>0.1</c:v>
                </c:pt>
                <c:pt idx="16">
                  <c:v>0.32</c:v>
                </c:pt>
                <c:pt idx="17">
                  <c:v>0.55000000000000004</c:v>
                </c:pt>
                <c:pt idx="18">
                  <c:v>0.76500000000000001</c:v>
                </c:pt>
                <c:pt idx="19">
                  <c:v>0.95</c:v>
                </c:pt>
                <c:pt idx="20">
                  <c:v>1.05</c:v>
                </c:pt>
                <c:pt idx="21">
                  <c:v>1.1499999999999999</c:v>
                </c:pt>
                <c:pt idx="22">
                  <c:v>1.25</c:v>
                </c:pt>
                <c:pt idx="23">
                  <c:v>1.34</c:v>
                </c:pt>
                <c:pt idx="24">
                  <c:v>1.43</c:v>
                </c:pt>
                <c:pt idx="25">
                  <c:v>1.49</c:v>
                </c:pt>
                <c:pt idx="26">
                  <c:v>1.53</c:v>
                </c:pt>
                <c:pt idx="27">
                  <c:v>1.58</c:v>
                </c:pt>
                <c:pt idx="28">
                  <c:v>1.61</c:v>
                </c:pt>
                <c:pt idx="29">
                  <c:v>1.595</c:v>
                </c:pt>
                <c:pt idx="30">
                  <c:v>1.56</c:v>
                </c:pt>
                <c:pt idx="31">
                  <c:v>1.46</c:v>
                </c:pt>
                <c:pt idx="32">
                  <c:v>1.1599999999999999</c:v>
                </c:pt>
                <c:pt idx="33" formatCode="General">
                  <c:v>1.04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1FED-47FC-9234-CB86D1DC8DAE}"/>
            </c:ext>
          </c:extLst>
        </c:ser>
        <c:ser>
          <c:idx val="7"/>
          <c:order val="3"/>
          <c:tx>
            <c:strRef>
              <c:f>Polare!$F$3</c:f>
              <c:strCache>
                <c:ptCount val="1"/>
                <c:pt idx="0">
                  <c:v>CL4</c:v>
                </c:pt>
              </c:strCache>
            </c:strRef>
          </c:tx>
          <c:spPr>
            <a:ln w="25400">
              <a:solidFill>
                <a:schemeClr val="accent4">
                  <a:lumMod val="75000"/>
                </a:schemeClr>
              </a:solidFill>
            </a:ln>
          </c:spPr>
          <c:marker>
            <c:symbol val="triangle"/>
            <c:size val="7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</c:spPr>
          </c:marker>
          <c:xVal>
            <c:numRef>
              <c:f>Polare!$B$5:$B$42</c:f>
              <c:numCache>
                <c:formatCode>General</c:formatCode>
                <c:ptCount val="38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  <c:pt idx="33">
                  <c:v>24</c:v>
                </c:pt>
                <c:pt idx="34">
                  <c:v>26</c:v>
                </c:pt>
                <c:pt idx="35">
                  <c:v>28</c:v>
                </c:pt>
                <c:pt idx="36">
                  <c:v>30</c:v>
                </c:pt>
                <c:pt idx="37">
                  <c:v>32</c:v>
                </c:pt>
              </c:numCache>
            </c:numRef>
          </c:xVal>
          <c:yVal>
            <c:numRef>
              <c:f>Polare!$F$5:$F$42</c:f>
              <c:numCache>
                <c:formatCode>0.00</c:formatCode>
                <c:ptCount val="38"/>
                <c:pt idx="10">
                  <c:v>-1.06</c:v>
                </c:pt>
                <c:pt idx="11">
                  <c:v>-0.82000000000000006</c:v>
                </c:pt>
                <c:pt idx="12">
                  <c:v>-0.57000000000000006</c:v>
                </c:pt>
                <c:pt idx="13">
                  <c:v>-0.34</c:v>
                </c:pt>
                <c:pt idx="14">
                  <c:v>-0.13</c:v>
                </c:pt>
                <c:pt idx="15">
                  <c:v>0.08</c:v>
                </c:pt>
                <c:pt idx="16">
                  <c:v>0.3</c:v>
                </c:pt>
                <c:pt idx="17">
                  <c:v>0.53</c:v>
                </c:pt>
                <c:pt idx="18">
                  <c:v>0.745</c:v>
                </c:pt>
                <c:pt idx="19">
                  <c:v>0.91999999999999993</c:v>
                </c:pt>
                <c:pt idx="20">
                  <c:v>1</c:v>
                </c:pt>
                <c:pt idx="21">
                  <c:v>1.05</c:v>
                </c:pt>
                <c:pt idx="22">
                  <c:v>1.1200000000000001</c:v>
                </c:pt>
                <c:pt idx="23">
                  <c:v>1.18</c:v>
                </c:pt>
                <c:pt idx="24">
                  <c:v>1.21</c:v>
                </c:pt>
                <c:pt idx="25">
                  <c:v>1.23</c:v>
                </c:pt>
                <c:pt idx="26">
                  <c:v>1.24</c:v>
                </c:pt>
                <c:pt idx="27">
                  <c:v>1.23</c:v>
                </c:pt>
                <c:pt idx="28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1FED-47FC-9234-CB86D1DC8DAE}"/>
            </c:ext>
          </c:extLst>
        </c:ser>
        <c:ser>
          <c:idx val="0"/>
          <c:order val="4"/>
          <c:tx>
            <c:strRef>
              <c:f>Polare!$G$3</c:f>
              <c:strCache>
                <c:ptCount val="1"/>
                <c:pt idx="0">
                  <c:v>CM1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x"/>
            <c:size val="7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xVal>
            <c:numRef>
              <c:f>Polare!$B$5:$B$42</c:f>
              <c:numCache>
                <c:formatCode>General</c:formatCode>
                <c:ptCount val="38"/>
                <c:pt idx="0">
                  <c:v>-32</c:v>
                </c:pt>
                <c:pt idx="1">
                  <c:v>-30</c:v>
                </c:pt>
                <c:pt idx="2">
                  <c:v>-28</c:v>
                </c:pt>
                <c:pt idx="3">
                  <c:v>-26</c:v>
                </c:pt>
                <c:pt idx="4">
                  <c:v>-24</c:v>
                </c:pt>
                <c:pt idx="5">
                  <c:v>-22</c:v>
                </c:pt>
                <c:pt idx="6">
                  <c:v>-20</c:v>
                </c:pt>
                <c:pt idx="7">
                  <c:v>-18</c:v>
                </c:pt>
                <c:pt idx="8">
                  <c:v>-16</c:v>
                </c:pt>
                <c:pt idx="9">
                  <c:v>-14</c:v>
                </c:pt>
                <c:pt idx="10">
                  <c:v>-12</c:v>
                </c:pt>
                <c:pt idx="11">
                  <c:v>-10</c:v>
                </c:pt>
                <c:pt idx="12">
                  <c:v>-8</c:v>
                </c:pt>
                <c:pt idx="13">
                  <c:v>-6</c:v>
                </c:pt>
                <c:pt idx="14">
                  <c:v>-4</c:v>
                </c:pt>
                <c:pt idx="15">
                  <c:v>-2</c:v>
                </c:pt>
                <c:pt idx="16">
                  <c:v>0</c:v>
                </c:pt>
                <c:pt idx="17">
                  <c:v>2</c:v>
                </c:pt>
                <c:pt idx="18">
                  <c:v>4</c:v>
                </c:pt>
                <c:pt idx="19">
                  <c:v>6</c:v>
                </c:pt>
                <c:pt idx="20">
                  <c:v>7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  <c:pt idx="29">
                  <c:v>16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  <c:pt idx="33">
                  <c:v>24</c:v>
                </c:pt>
                <c:pt idx="34">
                  <c:v>26</c:v>
                </c:pt>
                <c:pt idx="35">
                  <c:v>28</c:v>
                </c:pt>
                <c:pt idx="36">
                  <c:v>30</c:v>
                </c:pt>
                <c:pt idx="37">
                  <c:v>32</c:v>
                </c:pt>
              </c:numCache>
            </c:numRef>
          </c:xVal>
          <c:yVal>
            <c:numRef>
              <c:f>Polare!$G$5:$G$42</c:f>
              <c:numCache>
                <c:formatCode>0.00</c:formatCode>
                <c:ptCount val="38"/>
                <c:pt idx="10">
                  <c:v>-0.19</c:v>
                </c:pt>
                <c:pt idx="11">
                  <c:v>-0.19600000000000001</c:v>
                </c:pt>
                <c:pt idx="12">
                  <c:v>-0.21</c:v>
                </c:pt>
                <c:pt idx="13">
                  <c:v>-0.21</c:v>
                </c:pt>
                <c:pt idx="14">
                  <c:v>-0.23200000000000001</c:v>
                </c:pt>
                <c:pt idx="15">
                  <c:v>-0.26</c:v>
                </c:pt>
                <c:pt idx="16">
                  <c:v>-0.28000000000000003</c:v>
                </c:pt>
                <c:pt idx="17">
                  <c:v>-0.28999999999999998</c:v>
                </c:pt>
                <c:pt idx="18">
                  <c:v>-0.3</c:v>
                </c:pt>
                <c:pt idx="19">
                  <c:v>-0.28599999999999998</c:v>
                </c:pt>
                <c:pt idx="20">
                  <c:v>-0.28799999999999998</c:v>
                </c:pt>
                <c:pt idx="21">
                  <c:v>-0.28999999999999998</c:v>
                </c:pt>
                <c:pt idx="22">
                  <c:v>-0.28500000000000003</c:v>
                </c:pt>
                <c:pt idx="23">
                  <c:v>-0.28000000000000003</c:v>
                </c:pt>
                <c:pt idx="24">
                  <c:v>-0.26750000000000002</c:v>
                </c:pt>
                <c:pt idx="25">
                  <c:v>-0.255</c:v>
                </c:pt>
                <c:pt idx="26">
                  <c:v>-0.24249999999999999</c:v>
                </c:pt>
                <c:pt idx="27">
                  <c:v>-0.23</c:v>
                </c:pt>
                <c:pt idx="28">
                  <c:v>-0.255</c:v>
                </c:pt>
                <c:pt idx="29">
                  <c:v>-0.28000000000000003</c:v>
                </c:pt>
                <c:pt idx="30">
                  <c:v>-0.37</c:v>
                </c:pt>
                <c:pt idx="31">
                  <c:v>-0.48</c:v>
                </c:pt>
                <c:pt idx="32">
                  <c:v>-0.59</c:v>
                </c:pt>
                <c:pt idx="33" formatCode="General">
                  <c:v>-0.62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1FED-47FC-9234-CB86D1DC8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2"/>
          <c:min val="-32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8"/>
        <c:minorUnit val="2"/>
      </c:valAx>
      <c:valAx>
        <c:axId val="1903764864"/>
        <c:scaling>
          <c:orientation val="minMax"/>
          <c:max val="3.6"/>
          <c:min val="-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4"/>
        <c:minorUnit val="0.1"/>
      </c:valAx>
    </c:plotArea>
    <c:plotVisOnly val="1"/>
    <c:dispBlanksAs val="gap"/>
    <c:showDLblsOverMax val="0"/>
  </c:chart>
  <c:spPr>
    <a:solidFill>
      <a:schemeClr val="bg1"/>
    </a:solidFill>
    <a:ln w="9525" cap="rnd" cmpd="sng" algn="ctr">
      <a:noFill/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63256143299563"/>
          <c:y val="5.2848263664497269E-2"/>
          <c:w val="0.85554978445928054"/>
          <c:h val="0.78005298422449387"/>
        </c:manualLayout>
      </c:layout>
      <c:scatterChart>
        <c:scatterStyle val="smoothMarker"/>
        <c:varyColors val="0"/>
        <c:ser>
          <c:idx val="0"/>
          <c:order val="0"/>
          <c:tx>
            <c:v>Auf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Polare!$B$45:$B$70</c:f>
              <c:numCache>
                <c:formatCode>General</c:formatCode>
                <c:ptCount val="26"/>
                <c:pt idx="0">
                  <c:v>1</c:v>
                </c:pt>
                <c:pt idx="1">
                  <c:v>0.95040000000000002</c:v>
                </c:pt>
                <c:pt idx="2">
                  <c:v>0.90080000000000005</c:v>
                </c:pt>
                <c:pt idx="3">
                  <c:v>0.85109000000000001</c:v>
                </c:pt>
                <c:pt idx="4">
                  <c:v>0.80125999999999997</c:v>
                </c:pt>
                <c:pt idx="5">
                  <c:v>0.75131000000000003</c:v>
                </c:pt>
                <c:pt idx="6">
                  <c:v>0.70123999999999997</c:v>
                </c:pt>
                <c:pt idx="7">
                  <c:v>0.65105999999999997</c:v>
                </c:pt>
                <c:pt idx="8">
                  <c:v>0.60079000000000005</c:v>
                </c:pt>
                <c:pt idx="9">
                  <c:v>0.55042999999999997</c:v>
                </c:pt>
                <c:pt idx="10">
                  <c:v>0.5</c:v>
                </c:pt>
                <c:pt idx="11">
                  <c:v>0.44952999999999999</c:v>
                </c:pt>
                <c:pt idx="12">
                  <c:v>0.39903</c:v>
                </c:pt>
                <c:pt idx="13">
                  <c:v>0.34854000000000002</c:v>
                </c:pt>
                <c:pt idx="14">
                  <c:v>0.29807</c:v>
                </c:pt>
                <c:pt idx="15">
                  <c:v>0.24764</c:v>
                </c:pt>
                <c:pt idx="16">
                  <c:v>0.19725999999999999</c:v>
                </c:pt>
                <c:pt idx="17">
                  <c:v>0.14696999999999999</c:v>
                </c:pt>
                <c:pt idx="18">
                  <c:v>9.6820000000000003E-2</c:v>
                </c:pt>
                <c:pt idx="19">
                  <c:v>7.1840000000000001E-2</c:v>
                </c:pt>
                <c:pt idx="20">
                  <c:v>4.6969999999999998E-2</c:v>
                </c:pt>
                <c:pt idx="21">
                  <c:v>2.231E-2</c:v>
                </c:pt>
                <c:pt idx="22">
                  <c:v>1.0160000000000001E-2</c:v>
                </c:pt>
                <c:pt idx="23">
                  <c:v>5.4200000000000003E-3</c:v>
                </c:pt>
                <c:pt idx="24">
                  <c:v>3.13E-3</c:v>
                </c:pt>
                <c:pt idx="25">
                  <c:v>0</c:v>
                </c:pt>
              </c:numCache>
            </c:numRef>
          </c:xVal>
          <c:yVal>
            <c:numRef>
              <c:f>Polare!$C$45:$C$70</c:f>
              <c:numCache>
                <c:formatCode>General</c:formatCode>
                <c:ptCount val="26"/>
                <c:pt idx="0">
                  <c:v>0</c:v>
                </c:pt>
                <c:pt idx="1">
                  <c:v>1.0580000000000001E-2</c:v>
                </c:pt>
                <c:pt idx="2">
                  <c:v>2.1749999999999999E-2</c:v>
                </c:pt>
                <c:pt idx="3">
                  <c:v>3.32E-2</c:v>
                </c:pt>
                <c:pt idx="4">
                  <c:v>4.4470000000000003E-2</c:v>
                </c:pt>
                <c:pt idx="5">
                  <c:v>5.5320000000000001E-2</c:v>
                </c:pt>
                <c:pt idx="6">
                  <c:v>6.5420000000000006E-2</c:v>
                </c:pt>
                <c:pt idx="7">
                  <c:v>7.4620000000000006E-2</c:v>
                </c:pt>
                <c:pt idx="8">
                  <c:v>8.2600000000000007E-2</c:v>
                </c:pt>
                <c:pt idx="9">
                  <c:v>8.9099999999999999E-2</c:v>
                </c:pt>
                <c:pt idx="10">
                  <c:v>9.3710000000000002E-2</c:v>
                </c:pt>
                <c:pt idx="11">
                  <c:v>9.6170000000000005E-2</c:v>
                </c:pt>
                <c:pt idx="12">
                  <c:v>9.6390000000000003E-2</c:v>
                </c:pt>
                <c:pt idx="13">
                  <c:v>9.4549999999999995E-2</c:v>
                </c:pt>
                <c:pt idx="14">
                  <c:v>9.0929999999999997E-2</c:v>
                </c:pt>
                <c:pt idx="15">
                  <c:v>8.5500000000000007E-2</c:v>
                </c:pt>
                <c:pt idx="16">
                  <c:v>7.8090000000000007E-2</c:v>
                </c:pt>
                <c:pt idx="17">
                  <c:v>6.8419999999999995E-2</c:v>
                </c:pt>
                <c:pt idx="18">
                  <c:v>5.5780000000000003E-2</c:v>
                </c:pt>
                <c:pt idx="19">
                  <c:v>4.7940000000000003E-2</c:v>
                </c:pt>
                <c:pt idx="20">
                  <c:v>3.8629999999999998E-2</c:v>
                </c:pt>
                <c:pt idx="21">
                  <c:v>2.6800000000000001E-2</c:v>
                </c:pt>
                <c:pt idx="22">
                  <c:v>1.9E-2</c:v>
                </c:pt>
                <c:pt idx="23">
                  <c:v>1.4800000000000001E-2</c:v>
                </c:pt>
                <c:pt idx="24">
                  <c:v>1.208E-2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03-40F5-B5F8-587AF0ED341F}"/>
            </c:ext>
          </c:extLst>
        </c:ser>
        <c:ser>
          <c:idx val="1"/>
          <c:order val="1"/>
          <c:tx>
            <c:v>Ab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Polare!$B$70:$B$95</c:f>
              <c:numCache>
                <c:formatCode>General</c:formatCode>
                <c:ptCount val="26"/>
                <c:pt idx="0">
                  <c:v>0</c:v>
                </c:pt>
                <c:pt idx="1">
                  <c:v>6.8700000000000002E-3</c:v>
                </c:pt>
                <c:pt idx="2">
                  <c:v>9.58E-3</c:v>
                </c:pt>
                <c:pt idx="3">
                  <c:v>1.4840000000000001E-2</c:v>
                </c:pt>
                <c:pt idx="4">
                  <c:v>2.7689999999999999E-2</c:v>
                </c:pt>
                <c:pt idx="5">
                  <c:v>5.3030000000000001E-2</c:v>
                </c:pt>
                <c:pt idx="6">
                  <c:v>7.8159999999999993E-2</c:v>
                </c:pt>
                <c:pt idx="7">
                  <c:v>0.10317999999999999</c:v>
                </c:pt>
                <c:pt idx="8">
                  <c:v>0.15303</c:v>
                </c:pt>
                <c:pt idx="9">
                  <c:v>0.20274</c:v>
                </c:pt>
                <c:pt idx="10">
                  <c:v>0.25235999999999997</c:v>
                </c:pt>
                <c:pt idx="11">
                  <c:v>0.30192999999999998</c:v>
                </c:pt>
                <c:pt idx="12">
                  <c:v>0.35145999999999999</c:v>
                </c:pt>
                <c:pt idx="13">
                  <c:v>0.40096999999999999</c:v>
                </c:pt>
                <c:pt idx="14">
                  <c:v>0.45046999999999998</c:v>
                </c:pt>
                <c:pt idx="15">
                  <c:v>0.5</c:v>
                </c:pt>
                <c:pt idx="16">
                  <c:v>0.54957</c:v>
                </c:pt>
                <c:pt idx="17">
                  <c:v>0.59921000000000002</c:v>
                </c:pt>
                <c:pt idx="18">
                  <c:v>0.64893999999999996</c:v>
                </c:pt>
                <c:pt idx="19">
                  <c:v>0.69876000000000005</c:v>
                </c:pt>
                <c:pt idx="20">
                  <c:v>0.74868999999999997</c:v>
                </c:pt>
                <c:pt idx="21">
                  <c:v>0.79874000000000001</c:v>
                </c:pt>
                <c:pt idx="22">
                  <c:v>0.84891000000000005</c:v>
                </c:pt>
                <c:pt idx="23">
                  <c:v>0.8992</c:v>
                </c:pt>
                <c:pt idx="24">
                  <c:v>0.9496</c:v>
                </c:pt>
                <c:pt idx="25">
                  <c:v>1</c:v>
                </c:pt>
              </c:numCache>
            </c:numRef>
          </c:xVal>
          <c:yVal>
            <c:numRef>
              <c:f>Polare!$C$70:$C$95</c:f>
              <c:numCache>
                <c:formatCode>General</c:formatCode>
                <c:ptCount val="26"/>
                <c:pt idx="0">
                  <c:v>0</c:v>
                </c:pt>
                <c:pt idx="1">
                  <c:v>-1.008E-2</c:v>
                </c:pt>
                <c:pt idx="2">
                  <c:v>-1.2E-2</c:v>
                </c:pt>
                <c:pt idx="3">
                  <c:v>-1.472E-2</c:v>
                </c:pt>
                <c:pt idx="4">
                  <c:v>-1.9359999999999999E-2</c:v>
                </c:pt>
                <c:pt idx="5">
                  <c:v>-2.5989999999999999E-2</c:v>
                </c:pt>
                <c:pt idx="6">
                  <c:v>-3.0980000000000001E-2</c:v>
                </c:pt>
                <c:pt idx="7">
                  <c:v>-3.5099999999999999E-2</c:v>
                </c:pt>
                <c:pt idx="8">
                  <c:v>-4.1500000000000002E-2</c:v>
                </c:pt>
                <c:pt idx="9">
                  <c:v>-4.6249999999999999E-2</c:v>
                </c:pt>
                <c:pt idx="10">
                  <c:v>-4.9700000000000001E-2</c:v>
                </c:pt>
                <c:pt idx="11">
                  <c:v>-5.2049999999999999E-2</c:v>
                </c:pt>
                <c:pt idx="12">
                  <c:v>-5.3350000000000002E-2</c:v>
                </c:pt>
                <c:pt idx="13">
                  <c:v>-5.355E-2</c:v>
                </c:pt>
                <c:pt idx="14">
                  <c:v>-5.237E-2</c:v>
                </c:pt>
                <c:pt idx="15">
                  <c:v>-4.9619999999999997E-2</c:v>
                </c:pt>
                <c:pt idx="16">
                  <c:v>-4.53E-2</c:v>
                </c:pt>
                <c:pt idx="17">
                  <c:v>-3.9759999999999997E-2</c:v>
                </c:pt>
                <c:pt idx="18">
                  <c:v>-3.3419999999999998E-2</c:v>
                </c:pt>
                <c:pt idx="19">
                  <c:v>-2.6540000000000001E-2</c:v>
                </c:pt>
                <c:pt idx="20">
                  <c:v>-1.9519999999999999E-2</c:v>
                </c:pt>
                <c:pt idx="21">
                  <c:v>-1.2630000000000001E-2</c:v>
                </c:pt>
                <c:pt idx="22">
                  <c:v>-6.28E-3</c:v>
                </c:pt>
                <c:pt idx="23">
                  <c:v>-1.07E-3</c:v>
                </c:pt>
                <c:pt idx="24">
                  <c:v>2.0600000000000002E-3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F03-40F5-B5F8-587AF0ED3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0.1"/>
      </c:valAx>
      <c:valAx>
        <c:axId val="1903764864"/>
        <c:scaling>
          <c:orientation val="minMax"/>
          <c:max val="0.2"/>
          <c:min val="-0.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2"/>
        <c:minorUnit val="0.1"/>
      </c:valAx>
      <c:spPr>
        <a:ln cap="rnd">
          <a:solidFill>
            <a:schemeClr val="bg1">
              <a:lumMod val="75000"/>
            </a:schemeClr>
          </a:solidFill>
        </a:ln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noFill/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437344659011246"/>
          <c:y val="0.61561308497731737"/>
          <c:w val="0.74753520993643419"/>
          <c:h val="0.32911583375611703"/>
        </c:manualLayout>
      </c:layout>
      <c:scatterChart>
        <c:scatterStyle val="smoothMarker"/>
        <c:varyColors val="0"/>
        <c:ser>
          <c:idx val="1"/>
          <c:order val="0"/>
          <c:tx>
            <c:v>1</c:v>
          </c:tx>
          <c:marker>
            <c:symbol val="circle"/>
            <c:size val="8"/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Polare!$F$45</c:f>
              <c:numCache>
                <c:formatCode>General</c:formatCode>
                <c:ptCount val="1"/>
                <c:pt idx="0">
                  <c:v>-0.85</c:v>
                </c:pt>
              </c:numCache>
            </c:numRef>
          </c:xVal>
          <c:yVal>
            <c:numRef>
              <c:f>Polare!$E$45</c:f>
              <c:numCache>
                <c:formatCode>General</c:formatCode>
                <c:ptCount val="1"/>
                <c:pt idx="0">
                  <c:v>-0.26250000000000001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69-47F6-B187-E31E0060E2A5}"/>
            </c:ext>
          </c:extLst>
        </c:ser>
        <c:ser>
          <c:idx val="0"/>
          <c:order val="1"/>
          <c:tx>
            <c:v>2</c:v>
          </c:tx>
          <c:marker>
            <c:symbol val="triangle"/>
            <c:size val="8"/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Polare!$F$46</c:f>
              <c:numCache>
                <c:formatCode>General</c:formatCode>
                <c:ptCount val="1"/>
                <c:pt idx="0">
                  <c:v>-0.85</c:v>
                </c:pt>
              </c:numCache>
            </c:numRef>
          </c:xVal>
          <c:yVal>
            <c:numRef>
              <c:f>Polare!$E$46</c:f>
              <c:numCache>
                <c:formatCode>General</c:formatCode>
                <c:ptCount val="1"/>
                <c:pt idx="0">
                  <c:v>-0.29375000000000001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69-47F6-B187-E31E0060E2A5}"/>
            </c:ext>
          </c:extLst>
        </c:ser>
        <c:ser>
          <c:idx val="2"/>
          <c:order val="2"/>
          <c:tx>
            <c:v>3</c:v>
          </c:tx>
          <c:marker>
            <c:symbol val="square"/>
            <c:size val="8"/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Polare!$F$47</c:f>
              <c:numCache>
                <c:formatCode>General</c:formatCode>
                <c:ptCount val="1"/>
                <c:pt idx="0">
                  <c:v>-0.85</c:v>
                </c:pt>
              </c:numCache>
            </c:numRef>
          </c:xVal>
          <c:yVal>
            <c:numRef>
              <c:f>Polare!$E$47</c:f>
              <c:numCache>
                <c:formatCode>General</c:formatCode>
                <c:ptCount val="1"/>
                <c:pt idx="0">
                  <c:v>-0.41562500000000002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E69-47F6-B187-E31E0060E2A5}"/>
            </c:ext>
          </c:extLst>
        </c:ser>
        <c:ser>
          <c:idx val="3"/>
          <c:order val="3"/>
          <c:tx>
            <c:v>4</c:v>
          </c:tx>
          <c:marker>
            <c:symbol val="x"/>
            <c:size val="8"/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Polare!$F$48</c:f>
              <c:numCache>
                <c:formatCode>General</c:formatCode>
                <c:ptCount val="1"/>
                <c:pt idx="0">
                  <c:v>-0.85</c:v>
                </c:pt>
              </c:numCache>
            </c:numRef>
          </c:xVal>
          <c:yVal>
            <c:numRef>
              <c:f>Polare!$E$48</c:f>
              <c:numCache>
                <c:formatCode>General</c:formatCode>
                <c:ptCount val="1"/>
                <c:pt idx="0">
                  <c:v>-0.44687500000000002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E69-47F6-B187-E31E0060E2A5}"/>
            </c:ext>
          </c:extLst>
        </c:ser>
        <c:ser>
          <c:idx val="4"/>
          <c:order val="4"/>
          <c:tx>
            <c:v>5</c:v>
          </c:tx>
          <c:marker>
            <c:symbol val="diamond"/>
            <c:size val="8"/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Polare!$F$49</c:f>
              <c:numCache>
                <c:formatCode>General</c:formatCode>
                <c:ptCount val="1"/>
                <c:pt idx="0">
                  <c:v>-0.85</c:v>
                </c:pt>
              </c:numCache>
            </c:numRef>
          </c:xVal>
          <c:yVal>
            <c:numRef>
              <c:f>Polare!$E$49</c:f>
              <c:numCache>
                <c:formatCode>General</c:formatCode>
                <c:ptCount val="1"/>
                <c:pt idx="0">
                  <c:v>-0.47812500000000002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E69-47F6-B187-E31E0060E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1.6"/>
          <c:min val="-1.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rnd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4"/>
        <c:minorUnit val="0.1"/>
      </c:valAx>
      <c:valAx>
        <c:axId val="1903764864"/>
        <c:scaling>
          <c:orientation val="minMax"/>
          <c:max val="0"/>
          <c:min val="-0.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" sourceLinked="0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1"/>
        <c:minorUnit val="2.5000000000000005E-2"/>
      </c:valAx>
      <c:spPr>
        <a:noFill/>
        <a:ln cap="rnd">
          <a:noFill/>
        </a:ln>
      </c:spPr>
    </c:plotArea>
    <c:plotVisOnly val="1"/>
    <c:dispBlanksAs val="gap"/>
    <c:showDLblsOverMax val="0"/>
  </c:chart>
  <c:spPr>
    <a:noFill/>
    <a:ln w="9525" cap="rnd" cmpd="sng" algn="ctr">
      <a:noFill/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13279</xdr:colOff>
      <xdr:row>0</xdr:row>
      <xdr:rowOff>0</xdr:rowOff>
    </xdr:from>
    <xdr:to>
      <xdr:col>30</xdr:col>
      <xdr:colOff>290499</xdr:colOff>
      <xdr:row>47</xdr:row>
      <xdr:rowOff>144091</xdr:rowOff>
    </xdr:to>
    <xdr:grpSp>
      <xdr:nvGrpSpPr>
        <xdr:cNvPr id="62" name="Gruppieren 61">
          <a:extLst>
            <a:ext uri="{FF2B5EF4-FFF2-40B4-BE49-F238E27FC236}">
              <a16:creationId xmlns:a16="http://schemas.microsoft.com/office/drawing/2014/main" id="{294A7B6C-DAF1-9371-B59A-E41586C06DA1}"/>
            </a:ext>
          </a:extLst>
        </xdr:cNvPr>
        <xdr:cNvGrpSpPr/>
      </xdr:nvGrpSpPr>
      <xdr:grpSpPr>
        <a:xfrm>
          <a:off x="9124622" y="0"/>
          <a:ext cx="13786391" cy="9331634"/>
          <a:chOff x="19433393" y="52139"/>
          <a:chExt cx="13786391" cy="9331634"/>
        </a:xfrm>
      </xdr:grpSpPr>
      <xdr:graphicFrame macro="">
        <xdr:nvGraphicFramePr>
          <xdr:cNvPr id="2" name="Diagramm 1">
            <a:extLst>
              <a:ext uri="{FF2B5EF4-FFF2-40B4-BE49-F238E27FC236}">
                <a16:creationId xmlns:a16="http://schemas.microsoft.com/office/drawing/2014/main" id="{F2F01451-7EBD-4E16-AB95-C0F4B2E3F9C3}"/>
              </a:ext>
            </a:extLst>
          </xdr:cNvPr>
          <xdr:cNvGraphicFramePr>
            <a:graphicFrameLocks/>
          </xdr:cNvGraphicFramePr>
        </xdr:nvGraphicFramePr>
        <xdr:xfrm>
          <a:off x="26319095" y="351314"/>
          <a:ext cx="6602812" cy="900911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6" name="Diagramm 5">
            <a:extLst>
              <a:ext uri="{FF2B5EF4-FFF2-40B4-BE49-F238E27FC236}">
                <a16:creationId xmlns:a16="http://schemas.microsoft.com/office/drawing/2014/main" id="{3104CAD8-4A83-4FB3-8B72-E256A94B15CF}"/>
              </a:ext>
            </a:extLst>
          </xdr:cNvPr>
          <xdr:cNvGraphicFramePr>
            <a:graphicFrameLocks/>
          </xdr:cNvGraphicFramePr>
        </xdr:nvGraphicFramePr>
        <xdr:xfrm>
          <a:off x="26319752" y="382317"/>
          <a:ext cx="6601522" cy="90014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53E40B1B-DCF2-501B-AEC9-FFFB9A952B26}"/>
              </a:ext>
            </a:extLst>
          </xdr:cNvPr>
          <xdr:cNvGraphicFramePr/>
        </xdr:nvGraphicFramePr>
        <xdr:xfrm>
          <a:off x="19433393" y="351316"/>
          <a:ext cx="6608575" cy="900911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4CDA9883-DFD1-A55C-4B6D-52E7750782EA}"/>
              </a:ext>
            </a:extLst>
          </xdr:cNvPr>
          <xdr:cNvSpPr txBox="1"/>
        </xdr:nvSpPr>
        <xdr:spPr>
          <a:xfrm rot="16200000">
            <a:off x="19374978" y="4777326"/>
            <a:ext cx="1989434" cy="3128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Section lift coefficient </a:t>
            </a:r>
            <a:r>
              <a:rPr lang="de-DE" sz="1100" i="1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1100" baseline="-2500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L</a:t>
            </a:r>
            <a:endParaRPr lang="el-GR" sz="1100" baseline="-250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DAAC2F2E-55A2-A09C-6D03-0C1627DC260D}"/>
              </a:ext>
            </a:extLst>
          </xdr:cNvPr>
          <xdr:cNvSpPr txBox="1"/>
        </xdr:nvSpPr>
        <xdr:spPr>
          <a:xfrm>
            <a:off x="19514207" y="9030942"/>
            <a:ext cx="4715392" cy="2323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de-DE" sz="1100" b="0" i="0" baseline="0">
                <a:solidFill>
                  <a:schemeClr val="dk1"/>
                </a:solidFill>
                <a:effectLst/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NACA 65</a:t>
            </a:r>
            <a:r>
              <a:rPr lang="de-DE" sz="1100" b="0" i="0" baseline="-25000">
                <a:solidFill>
                  <a:schemeClr val="dk1"/>
                </a:solidFill>
                <a:effectLst/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  <a:r>
              <a:rPr lang="de-DE" sz="1100" b="0" i="0" baseline="0">
                <a:solidFill>
                  <a:schemeClr val="dk1"/>
                </a:solidFill>
                <a:effectLst/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-415 Wing Section                    </a:t>
            </a:r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Section angle</a:t>
            </a:r>
            <a:r>
              <a:rPr lang="de-DE" sz="11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of attack</a:t>
            </a:r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α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DF61B8A9-2D8E-80C1-B07B-6AFD801BF8A5}"/>
              </a:ext>
            </a:extLst>
          </xdr:cNvPr>
          <xdr:cNvGrpSpPr/>
        </xdr:nvGrpSpPr>
        <xdr:grpSpPr>
          <a:xfrm>
            <a:off x="19746869" y="4996605"/>
            <a:ext cx="461309" cy="3896639"/>
            <a:chOff x="12446314" y="4894155"/>
            <a:chExt cx="461309" cy="3871556"/>
          </a:xfrm>
        </xdr:grpSpPr>
        <xdr:sp macro="" textlink="">
          <xdr:nvSpPr>
            <xdr:cNvPr id="26" name="Textfeld 25">
              <a:extLst>
                <a:ext uri="{FF2B5EF4-FFF2-40B4-BE49-F238E27FC236}">
                  <a16:creationId xmlns:a16="http://schemas.microsoft.com/office/drawing/2014/main" id="{58005A98-1CD3-4BF5-A5E7-ECBEBBB875D4}"/>
                </a:ext>
              </a:extLst>
            </xdr:cNvPr>
            <xdr:cNvSpPr txBox="1"/>
          </xdr:nvSpPr>
          <xdr:spPr>
            <a:xfrm>
              <a:off x="12446314" y="8452365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-0,5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04A691CC-7D02-4D6F-AF49-765287B580A4}"/>
                </a:ext>
              </a:extLst>
            </xdr:cNvPr>
            <xdr:cNvSpPr txBox="1"/>
          </xdr:nvSpPr>
          <xdr:spPr>
            <a:xfrm>
              <a:off x="12446315" y="7856017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-0,4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28" name="Textfeld 27">
              <a:extLst>
                <a:ext uri="{FF2B5EF4-FFF2-40B4-BE49-F238E27FC236}">
                  <a16:creationId xmlns:a16="http://schemas.microsoft.com/office/drawing/2014/main" id="{0061D6F1-8552-4252-9F8C-F2EDA0A18BE1}"/>
                </a:ext>
              </a:extLst>
            </xdr:cNvPr>
            <xdr:cNvSpPr txBox="1"/>
          </xdr:nvSpPr>
          <xdr:spPr>
            <a:xfrm>
              <a:off x="12446318" y="7266295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-0,3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29" name="Textfeld 28">
              <a:extLst>
                <a:ext uri="{FF2B5EF4-FFF2-40B4-BE49-F238E27FC236}">
                  <a16:creationId xmlns:a16="http://schemas.microsoft.com/office/drawing/2014/main" id="{9687F6E5-F359-4531-8F8A-D3D6660A5070}"/>
                </a:ext>
              </a:extLst>
            </xdr:cNvPr>
            <xdr:cNvSpPr txBox="1"/>
          </xdr:nvSpPr>
          <xdr:spPr>
            <a:xfrm>
              <a:off x="12446316" y="6669947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-0,2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57CB1566-7954-41F3-8939-CC8DD69A2728}"/>
                </a:ext>
              </a:extLst>
            </xdr:cNvPr>
            <xdr:cNvSpPr txBox="1"/>
          </xdr:nvSpPr>
          <xdr:spPr>
            <a:xfrm>
              <a:off x="12446317" y="6080225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-0,1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31" name="Textfeld 30">
              <a:extLst>
                <a:ext uri="{FF2B5EF4-FFF2-40B4-BE49-F238E27FC236}">
                  <a16:creationId xmlns:a16="http://schemas.microsoft.com/office/drawing/2014/main" id="{9E416041-342B-40CF-8EB7-CA16ED06A046}"/>
                </a:ext>
              </a:extLst>
            </xdr:cNvPr>
            <xdr:cNvSpPr txBox="1"/>
          </xdr:nvSpPr>
          <xdr:spPr>
            <a:xfrm>
              <a:off x="12446317" y="5483877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0,0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32" name="Textfeld 31">
              <a:extLst>
                <a:ext uri="{FF2B5EF4-FFF2-40B4-BE49-F238E27FC236}">
                  <a16:creationId xmlns:a16="http://schemas.microsoft.com/office/drawing/2014/main" id="{08F91616-6A05-4E1E-BCC0-90CB1C2BFBF7}"/>
                </a:ext>
              </a:extLst>
            </xdr:cNvPr>
            <xdr:cNvSpPr txBox="1"/>
          </xdr:nvSpPr>
          <xdr:spPr>
            <a:xfrm>
              <a:off x="12446319" y="4894155"/>
              <a:ext cx="461304" cy="31334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0,1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</xdr:grpSp>
      <xdr:sp macro="" textlink="">
        <xdr:nvSpPr>
          <xdr:cNvPr id="34" name="Textfeld 33">
            <a:extLst>
              <a:ext uri="{FF2B5EF4-FFF2-40B4-BE49-F238E27FC236}">
                <a16:creationId xmlns:a16="http://schemas.microsoft.com/office/drawing/2014/main" id="{0DA50D4A-054F-4C29-912F-3644DF355A81}"/>
              </a:ext>
            </a:extLst>
          </xdr:cNvPr>
          <xdr:cNvSpPr txBox="1"/>
        </xdr:nvSpPr>
        <xdr:spPr>
          <a:xfrm rot="16200000">
            <a:off x="18692730" y="6736518"/>
            <a:ext cx="2015939" cy="31334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6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Moment coefficient </a:t>
            </a:r>
            <a:r>
              <a:rPr lang="de-DE" sz="1100" i="1">
                <a:solidFill>
                  <a:schemeClr val="accent6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1100" baseline="-25000">
                <a:solidFill>
                  <a:schemeClr val="accent6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M1/4</a:t>
            </a:r>
            <a:endParaRPr lang="el-GR" sz="1100" baseline="-25000">
              <a:solidFill>
                <a:schemeClr val="accent6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grpSp>
        <xdr:nvGrpSpPr>
          <xdr:cNvPr id="43" name="Gruppieren 42">
            <a:extLst>
              <a:ext uri="{FF2B5EF4-FFF2-40B4-BE49-F238E27FC236}">
                <a16:creationId xmlns:a16="http://schemas.microsoft.com/office/drawing/2014/main" id="{F94641CF-B66F-8FB3-E5D8-C634CFDAC72F}"/>
              </a:ext>
            </a:extLst>
          </xdr:cNvPr>
          <xdr:cNvGrpSpPr/>
        </xdr:nvGrpSpPr>
        <xdr:grpSpPr>
          <a:xfrm>
            <a:off x="22034606" y="5582789"/>
            <a:ext cx="378824" cy="378823"/>
            <a:chOff x="9231085" y="4101737"/>
            <a:chExt cx="378824" cy="387532"/>
          </a:xfrm>
        </xdr:grpSpPr>
        <xdr:sp macro="" textlink="">
          <xdr:nvSpPr>
            <xdr:cNvPr id="35" name="Ellipse 34">
              <a:extLst>
                <a:ext uri="{FF2B5EF4-FFF2-40B4-BE49-F238E27FC236}">
                  <a16:creationId xmlns:a16="http://schemas.microsoft.com/office/drawing/2014/main" id="{E4EFE8B2-F7CF-BCB0-DB4A-754CAB3A866A}"/>
                </a:ext>
              </a:extLst>
            </xdr:cNvPr>
            <xdr:cNvSpPr/>
          </xdr:nvSpPr>
          <xdr:spPr>
            <a:xfrm>
              <a:off x="9324230" y="4195449"/>
              <a:ext cx="198782" cy="200297"/>
            </a:xfrm>
            <a:prstGeom prst="ellipse">
              <a:avLst/>
            </a:prstGeom>
            <a:noFill/>
            <a:ln w="254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cxnSp macro="">
          <xdr:nvCxnSpPr>
            <xdr:cNvPr id="37" name="Gerader Verbinder 36">
              <a:extLst>
                <a:ext uri="{FF2B5EF4-FFF2-40B4-BE49-F238E27FC236}">
                  <a16:creationId xmlns:a16="http://schemas.microsoft.com/office/drawing/2014/main" id="{A1E03791-FBD5-A055-C10B-12C34FBA3C9A}"/>
                </a:ext>
              </a:extLst>
            </xdr:cNvPr>
            <xdr:cNvCxnSpPr/>
          </xdr:nvCxnSpPr>
          <xdr:spPr>
            <a:xfrm>
              <a:off x="9422674" y="4101737"/>
              <a:ext cx="0" cy="387532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0" name="Gerader Verbinder 39">
              <a:extLst>
                <a:ext uri="{FF2B5EF4-FFF2-40B4-BE49-F238E27FC236}">
                  <a16:creationId xmlns:a16="http://schemas.microsoft.com/office/drawing/2014/main" id="{978F20E2-5680-4DC4-8D11-8D7FFAB79D77}"/>
                </a:ext>
              </a:extLst>
            </xdr:cNvPr>
            <xdr:cNvCxnSpPr/>
          </xdr:nvCxnSpPr>
          <xdr:spPr>
            <a:xfrm flipH="1">
              <a:off x="9231085" y="4293325"/>
              <a:ext cx="378824" cy="0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48" name="Rechteck: abgerundete Ecken 47">
            <a:extLst>
              <a:ext uri="{FF2B5EF4-FFF2-40B4-BE49-F238E27FC236}">
                <a16:creationId xmlns:a16="http://schemas.microsoft.com/office/drawing/2014/main" id="{8CE48536-0F8D-A527-6D90-6A2CBD5DD84C}"/>
              </a:ext>
            </a:extLst>
          </xdr:cNvPr>
          <xdr:cNvSpPr/>
        </xdr:nvSpPr>
        <xdr:spPr>
          <a:xfrm>
            <a:off x="21006995" y="4394071"/>
            <a:ext cx="1149532" cy="844731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49" name="Gruppieren 48">
            <a:extLst>
              <a:ext uri="{FF2B5EF4-FFF2-40B4-BE49-F238E27FC236}">
                <a16:creationId xmlns:a16="http://schemas.microsoft.com/office/drawing/2014/main" id="{55B90A9F-DD68-D2E3-7974-C3750EEAB1CD}"/>
              </a:ext>
            </a:extLst>
          </xdr:cNvPr>
          <xdr:cNvGrpSpPr/>
        </xdr:nvGrpSpPr>
        <xdr:grpSpPr>
          <a:xfrm>
            <a:off x="20836267" y="4344499"/>
            <a:ext cx="1416054" cy="922803"/>
            <a:chOff x="14268083" y="4378737"/>
            <a:chExt cx="1411700" cy="946554"/>
          </a:xfrm>
        </xdr:grpSpPr>
        <xdr:sp macro="" textlink="">
          <xdr:nvSpPr>
            <xdr:cNvPr id="45" name="Textfeld 44">
              <a:extLst>
                <a:ext uri="{FF2B5EF4-FFF2-40B4-BE49-F238E27FC236}">
                  <a16:creationId xmlns:a16="http://schemas.microsoft.com/office/drawing/2014/main" id="{F3D3BFA9-34B8-4B7C-96CE-0A337A6B948B}"/>
                </a:ext>
              </a:extLst>
            </xdr:cNvPr>
            <xdr:cNvSpPr txBox="1"/>
          </xdr:nvSpPr>
          <xdr:spPr>
            <a:xfrm>
              <a:off x="14455317" y="4378737"/>
              <a:ext cx="1050295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1">
                  <a:solidFill>
                    <a:sysClr val="windowText" lastClr="000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α</a:t>
              </a:r>
              <a:r>
                <a:rPr lang="de-DE" sz="6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</a:t>
              </a:r>
              <a:r>
                <a:rPr lang="de-DE" sz="24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  <a:r>
                <a:rPr lang="de-DE" sz="24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bei</a:t>
              </a:r>
              <a:endParaRPr lang="el-GR" sz="24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47" name="Textfeld 46">
              <a:extLst>
                <a:ext uri="{FF2B5EF4-FFF2-40B4-BE49-F238E27FC236}">
                  <a16:creationId xmlns:a16="http://schemas.microsoft.com/office/drawing/2014/main" id="{21811A26-4DF8-4983-9442-DC8DCBD01995}"/>
                </a:ext>
              </a:extLst>
            </xdr:cNvPr>
            <xdr:cNvSpPr txBox="1"/>
          </xdr:nvSpPr>
          <xdr:spPr>
            <a:xfrm>
              <a:off x="14268083" y="4744497"/>
              <a:ext cx="1411700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2400" i="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24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= 0</a:t>
              </a:r>
              <a:endParaRPr lang="el-GR" sz="2400" i="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</xdr:grpSp>
      <xdr:cxnSp macro="">
        <xdr:nvCxnSpPr>
          <xdr:cNvPr id="51" name="Gerade Verbindung mit Pfeil 50">
            <a:extLst>
              <a:ext uri="{FF2B5EF4-FFF2-40B4-BE49-F238E27FC236}">
                <a16:creationId xmlns:a16="http://schemas.microsoft.com/office/drawing/2014/main" id="{8E6EACA3-030A-5006-A316-7CC66F285378}"/>
              </a:ext>
            </a:extLst>
          </xdr:cNvPr>
          <xdr:cNvCxnSpPr/>
        </xdr:nvCxnSpPr>
        <xdr:spPr>
          <a:xfrm>
            <a:off x="21860435" y="5206801"/>
            <a:ext cx="252549" cy="428240"/>
          </a:xfrm>
          <a:prstGeom prst="straightConnector1">
            <a:avLst/>
          </a:prstGeom>
          <a:ln w="25400" cap="rnd">
            <a:solidFill>
              <a:sysClr val="windowText" lastClr="000000"/>
            </a:solidFill>
            <a:round/>
            <a:headEnd type="none"/>
            <a:tailEnd type="triangle" w="lg" len="lg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64" name="Gruppieren 63">
            <a:extLst>
              <a:ext uri="{FF2B5EF4-FFF2-40B4-BE49-F238E27FC236}">
                <a16:creationId xmlns:a16="http://schemas.microsoft.com/office/drawing/2014/main" id="{6DEFB625-4B76-48A3-A963-709FD842E287}"/>
              </a:ext>
            </a:extLst>
          </xdr:cNvPr>
          <xdr:cNvGrpSpPr/>
        </xdr:nvGrpSpPr>
        <xdr:grpSpPr>
          <a:xfrm>
            <a:off x="23935347" y="1767109"/>
            <a:ext cx="378352" cy="378824"/>
            <a:chOff x="9231085" y="4101737"/>
            <a:chExt cx="378824" cy="387532"/>
          </a:xfrm>
        </xdr:grpSpPr>
        <xdr:sp macro="" textlink="">
          <xdr:nvSpPr>
            <xdr:cNvPr id="65" name="Ellipse 64">
              <a:extLst>
                <a:ext uri="{FF2B5EF4-FFF2-40B4-BE49-F238E27FC236}">
                  <a16:creationId xmlns:a16="http://schemas.microsoft.com/office/drawing/2014/main" id="{5AE99A1C-CD70-B924-2674-4139072E2A03}"/>
                </a:ext>
              </a:extLst>
            </xdr:cNvPr>
            <xdr:cNvSpPr/>
          </xdr:nvSpPr>
          <xdr:spPr>
            <a:xfrm>
              <a:off x="9324230" y="4195449"/>
              <a:ext cx="198782" cy="200297"/>
            </a:xfrm>
            <a:prstGeom prst="ellipse">
              <a:avLst/>
            </a:prstGeom>
            <a:noFill/>
            <a:ln w="254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cxnSp macro="">
          <xdr:nvCxnSpPr>
            <xdr:cNvPr id="66" name="Gerader Verbinder 65">
              <a:extLst>
                <a:ext uri="{FF2B5EF4-FFF2-40B4-BE49-F238E27FC236}">
                  <a16:creationId xmlns:a16="http://schemas.microsoft.com/office/drawing/2014/main" id="{AAD043E9-8C91-F48D-4212-A3E9B6C939E1}"/>
                </a:ext>
              </a:extLst>
            </xdr:cNvPr>
            <xdr:cNvCxnSpPr/>
          </xdr:nvCxnSpPr>
          <xdr:spPr>
            <a:xfrm>
              <a:off x="9422674" y="4101737"/>
              <a:ext cx="0" cy="387532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7" name="Gerader Verbinder 66">
              <a:extLst>
                <a:ext uri="{FF2B5EF4-FFF2-40B4-BE49-F238E27FC236}">
                  <a16:creationId xmlns:a16="http://schemas.microsoft.com/office/drawing/2014/main" id="{7BE54B43-3A46-8E5E-1B26-CE8E5C035B67}"/>
                </a:ext>
              </a:extLst>
            </xdr:cNvPr>
            <xdr:cNvCxnSpPr/>
          </xdr:nvCxnSpPr>
          <xdr:spPr>
            <a:xfrm flipH="1">
              <a:off x="9231085" y="4293325"/>
              <a:ext cx="378824" cy="0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68" name="Rechteck: abgerundete Ecken 67">
            <a:extLst>
              <a:ext uri="{FF2B5EF4-FFF2-40B4-BE49-F238E27FC236}">
                <a16:creationId xmlns:a16="http://schemas.microsoft.com/office/drawing/2014/main" id="{1DC00318-9DF6-4C81-9B61-A5AA01642163}"/>
              </a:ext>
            </a:extLst>
          </xdr:cNvPr>
          <xdr:cNvSpPr/>
        </xdr:nvSpPr>
        <xdr:spPr>
          <a:xfrm>
            <a:off x="21874699" y="910642"/>
            <a:ext cx="1845017" cy="862149"/>
          </a:xfrm>
          <a:prstGeom prst="roundRect">
            <a:avLst>
              <a:gd name="adj" fmla="val 12693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74" name="Gruppieren 73">
            <a:extLst>
              <a:ext uri="{FF2B5EF4-FFF2-40B4-BE49-F238E27FC236}">
                <a16:creationId xmlns:a16="http://schemas.microsoft.com/office/drawing/2014/main" id="{71878059-DAB8-3A32-1C9B-C4242AF4D350}"/>
              </a:ext>
            </a:extLst>
          </xdr:cNvPr>
          <xdr:cNvGrpSpPr/>
        </xdr:nvGrpSpPr>
        <xdr:grpSpPr>
          <a:xfrm>
            <a:off x="21762277" y="850423"/>
            <a:ext cx="2027860" cy="994456"/>
            <a:chOff x="9783143" y="1205977"/>
            <a:chExt cx="2021328" cy="1016227"/>
          </a:xfrm>
        </xdr:grpSpPr>
        <xdr:sp macro="" textlink="">
          <xdr:nvSpPr>
            <xdr:cNvPr id="70" name="Textfeld 69">
              <a:extLst>
                <a:ext uri="{FF2B5EF4-FFF2-40B4-BE49-F238E27FC236}">
                  <a16:creationId xmlns:a16="http://schemas.microsoft.com/office/drawing/2014/main" id="{F1BD978E-F697-425E-E9BE-8CD16F2E0F5F}"/>
                </a:ext>
              </a:extLst>
            </xdr:cNvPr>
            <xdr:cNvSpPr txBox="1"/>
          </xdr:nvSpPr>
          <xdr:spPr>
            <a:xfrm>
              <a:off x="9783143" y="1205977"/>
              <a:ext cx="2021328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2400" i="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24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und </a:t>
              </a:r>
              <a:r>
                <a:rPr lang="de-DE" sz="2400" i="1">
                  <a:solidFill>
                    <a:sysClr val="windowText" lastClr="000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α</a:t>
              </a:r>
              <a:r>
                <a:rPr lang="de-DE" sz="6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</a:t>
              </a:r>
              <a:r>
                <a:rPr lang="de-DE" sz="24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max</a:t>
              </a:r>
              <a:endParaRPr lang="el-GR" sz="24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71" name="Textfeld 70">
              <a:extLst>
                <a:ext uri="{FF2B5EF4-FFF2-40B4-BE49-F238E27FC236}">
                  <a16:creationId xmlns:a16="http://schemas.microsoft.com/office/drawing/2014/main" id="{2A394CA3-192A-4336-299C-E141CAC9DC40}"/>
                </a:ext>
              </a:extLst>
            </xdr:cNvPr>
            <xdr:cNvSpPr txBox="1"/>
          </xdr:nvSpPr>
          <xdr:spPr>
            <a:xfrm>
              <a:off x="9900357" y="1641410"/>
              <a:ext cx="1790899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mit Flaps</a:t>
              </a:r>
              <a:endParaRPr lang="el-GR" sz="2400" i="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</xdr:grpSp>
      <xdr:cxnSp macro="">
        <xdr:nvCxnSpPr>
          <xdr:cNvPr id="72" name="Gerade Verbindung mit Pfeil 71">
            <a:extLst>
              <a:ext uri="{FF2B5EF4-FFF2-40B4-BE49-F238E27FC236}">
                <a16:creationId xmlns:a16="http://schemas.microsoft.com/office/drawing/2014/main" id="{1ABC5A23-D5FD-49BF-B7BF-1F06E0EE5A1B}"/>
              </a:ext>
            </a:extLst>
          </xdr:cNvPr>
          <xdr:cNvCxnSpPr/>
        </xdr:nvCxnSpPr>
        <xdr:spPr>
          <a:xfrm>
            <a:off x="23619567" y="1663933"/>
            <a:ext cx="376741" cy="207679"/>
          </a:xfrm>
          <a:prstGeom prst="straightConnector1">
            <a:avLst/>
          </a:prstGeom>
          <a:ln w="25400" cap="rnd">
            <a:solidFill>
              <a:sysClr val="windowText" lastClr="000000"/>
            </a:solidFill>
            <a:round/>
            <a:headEnd type="none"/>
            <a:tailEnd type="triangle" w="lg" len="lg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5" name="Gruppieren 74">
            <a:extLst>
              <a:ext uri="{FF2B5EF4-FFF2-40B4-BE49-F238E27FC236}">
                <a16:creationId xmlns:a16="http://schemas.microsoft.com/office/drawing/2014/main" id="{A7DE0AA1-3481-4558-A176-DA21A7B67046}"/>
              </a:ext>
            </a:extLst>
          </xdr:cNvPr>
          <xdr:cNvGrpSpPr/>
        </xdr:nvGrpSpPr>
        <xdr:grpSpPr>
          <a:xfrm>
            <a:off x="24320430" y="3220086"/>
            <a:ext cx="378824" cy="378824"/>
            <a:chOff x="9231085" y="4101737"/>
            <a:chExt cx="378824" cy="387532"/>
          </a:xfrm>
        </xdr:grpSpPr>
        <xdr:sp macro="" textlink="">
          <xdr:nvSpPr>
            <xdr:cNvPr id="76" name="Ellipse 75">
              <a:extLst>
                <a:ext uri="{FF2B5EF4-FFF2-40B4-BE49-F238E27FC236}">
                  <a16:creationId xmlns:a16="http://schemas.microsoft.com/office/drawing/2014/main" id="{AC9CA072-ACF3-30B4-8BF3-2FB8BE2F7788}"/>
                </a:ext>
              </a:extLst>
            </xdr:cNvPr>
            <xdr:cNvSpPr/>
          </xdr:nvSpPr>
          <xdr:spPr>
            <a:xfrm>
              <a:off x="9324230" y="4195449"/>
              <a:ext cx="198782" cy="200297"/>
            </a:xfrm>
            <a:prstGeom prst="ellipse">
              <a:avLst/>
            </a:prstGeom>
            <a:noFill/>
            <a:ln w="254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cxnSp macro="">
          <xdr:nvCxnSpPr>
            <xdr:cNvPr id="77" name="Gerader Verbinder 76">
              <a:extLst>
                <a:ext uri="{FF2B5EF4-FFF2-40B4-BE49-F238E27FC236}">
                  <a16:creationId xmlns:a16="http://schemas.microsoft.com/office/drawing/2014/main" id="{3B4FDEA2-36A4-49F7-8EBE-32DD86BBF392}"/>
                </a:ext>
              </a:extLst>
            </xdr:cNvPr>
            <xdr:cNvCxnSpPr/>
          </xdr:nvCxnSpPr>
          <xdr:spPr>
            <a:xfrm>
              <a:off x="9422674" y="4101737"/>
              <a:ext cx="0" cy="387532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78" name="Gerader Verbinder 77">
              <a:extLst>
                <a:ext uri="{FF2B5EF4-FFF2-40B4-BE49-F238E27FC236}">
                  <a16:creationId xmlns:a16="http://schemas.microsoft.com/office/drawing/2014/main" id="{4C90026F-EAAF-751E-78B4-938152F957BA}"/>
                </a:ext>
              </a:extLst>
            </xdr:cNvPr>
            <xdr:cNvCxnSpPr/>
          </xdr:nvCxnSpPr>
          <xdr:spPr>
            <a:xfrm flipH="1">
              <a:off x="9231085" y="4293325"/>
              <a:ext cx="378824" cy="0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79" name="Rechteck: abgerundete Ecken 78">
            <a:extLst>
              <a:ext uri="{FF2B5EF4-FFF2-40B4-BE49-F238E27FC236}">
                <a16:creationId xmlns:a16="http://schemas.microsoft.com/office/drawing/2014/main" id="{D9F90166-2049-453D-830D-37256B7E313F}"/>
              </a:ext>
            </a:extLst>
          </xdr:cNvPr>
          <xdr:cNvSpPr/>
        </xdr:nvSpPr>
        <xdr:spPr>
          <a:xfrm>
            <a:off x="24731637" y="2137307"/>
            <a:ext cx="1804775" cy="878857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cxnSp macro="">
        <xdr:nvCxnSpPr>
          <xdr:cNvPr id="83" name="Gerade Verbindung mit Pfeil 82">
            <a:extLst>
              <a:ext uri="{FF2B5EF4-FFF2-40B4-BE49-F238E27FC236}">
                <a16:creationId xmlns:a16="http://schemas.microsoft.com/office/drawing/2014/main" id="{C30B366E-F6DE-49F4-A0B1-CBF462A2E2A3}"/>
              </a:ext>
            </a:extLst>
          </xdr:cNvPr>
          <xdr:cNvCxnSpPr/>
        </xdr:nvCxnSpPr>
        <xdr:spPr>
          <a:xfrm flipH="1">
            <a:off x="24604725" y="2974123"/>
            <a:ext cx="193089" cy="305250"/>
          </a:xfrm>
          <a:prstGeom prst="straightConnector1">
            <a:avLst/>
          </a:prstGeom>
          <a:ln w="25400" cap="rnd">
            <a:solidFill>
              <a:sysClr val="windowText" lastClr="000000"/>
            </a:solidFill>
            <a:round/>
            <a:headEnd type="none"/>
            <a:tailEnd type="triangle" w="lg" len="lg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86" name="Gruppieren 85">
            <a:extLst>
              <a:ext uri="{FF2B5EF4-FFF2-40B4-BE49-F238E27FC236}">
                <a16:creationId xmlns:a16="http://schemas.microsoft.com/office/drawing/2014/main" id="{F8644D5A-E963-491B-ADB1-4AB71DC310F2}"/>
              </a:ext>
            </a:extLst>
          </xdr:cNvPr>
          <xdr:cNvGrpSpPr/>
        </xdr:nvGrpSpPr>
        <xdr:grpSpPr>
          <a:xfrm>
            <a:off x="24588285" y="2084412"/>
            <a:ext cx="2027858" cy="994455"/>
            <a:chOff x="9783143" y="1205977"/>
            <a:chExt cx="2021328" cy="1016227"/>
          </a:xfrm>
        </xdr:grpSpPr>
        <xdr:sp macro="" textlink="">
          <xdr:nvSpPr>
            <xdr:cNvPr id="87" name="Textfeld 86">
              <a:extLst>
                <a:ext uri="{FF2B5EF4-FFF2-40B4-BE49-F238E27FC236}">
                  <a16:creationId xmlns:a16="http://schemas.microsoft.com/office/drawing/2014/main" id="{BF7B4BA3-0CAC-8AEF-D266-E395D751814D}"/>
                </a:ext>
              </a:extLst>
            </xdr:cNvPr>
            <xdr:cNvSpPr txBox="1"/>
          </xdr:nvSpPr>
          <xdr:spPr>
            <a:xfrm>
              <a:off x="9783143" y="1205977"/>
              <a:ext cx="2021328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2400" i="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24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und </a:t>
              </a:r>
              <a:r>
                <a:rPr lang="de-DE" sz="2400" i="1">
                  <a:solidFill>
                    <a:sysClr val="windowText" lastClr="000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α</a:t>
              </a:r>
              <a:r>
                <a:rPr lang="de-DE" sz="6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</a:t>
              </a:r>
              <a:r>
                <a:rPr lang="de-DE" sz="24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max</a:t>
              </a:r>
              <a:endParaRPr lang="el-GR" sz="24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sp macro="" textlink="">
          <xdr:nvSpPr>
            <xdr:cNvPr id="88" name="Textfeld 87">
              <a:extLst>
                <a:ext uri="{FF2B5EF4-FFF2-40B4-BE49-F238E27FC236}">
                  <a16:creationId xmlns:a16="http://schemas.microsoft.com/office/drawing/2014/main" id="{0AF96216-7123-F4E3-8EAC-642B7C50C7B6}"/>
                </a:ext>
              </a:extLst>
            </xdr:cNvPr>
            <xdr:cNvSpPr txBox="1"/>
          </xdr:nvSpPr>
          <xdr:spPr>
            <a:xfrm>
              <a:off x="9900357" y="1641410"/>
              <a:ext cx="1790899" cy="58079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24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ohne Flaps</a:t>
              </a:r>
              <a:endParaRPr lang="el-GR" sz="2400" i="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</xdr:grpSp>
      <xdr:sp macro="" textlink="">
        <xdr:nvSpPr>
          <xdr:cNvPr id="5" name="Rechteck 4">
            <a:extLst>
              <a:ext uri="{FF2B5EF4-FFF2-40B4-BE49-F238E27FC236}">
                <a16:creationId xmlns:a16="http://schemas.microsoft.com/office/drawing/2014/main" id="{04704D29-9351-1250-DE1C-B6E67572A55C}"/>
              </a:ext>
            </a:extLst>
          </xdr:cNvPr>
          <xdr:cNvSpPr/>
        </xdr:nvSpPr>
        <xdr:spPr>
          <a:xfrm>
            <a:off x="27622066" y="441739"/>
            <a:ext cx="3951287" cy="1828209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aphicFrame macro="">
        <xdr:nvGraphicFramePr>
          <xdr:cNvPr id="4" name="Diagramm 3">
            <a:extLst>
              <a:ext uri="{FF2B5EF4-FFF2-40B4-BE49-F238E27FC236}">
                <a16:creationId xmlns:a16="http://schemas.microsoft.com/office/drawing/2014/main" id="{5D4139A0-7A77-4E3B-A9BB-DD0C1C73F6B5}"/>
              </a:ext>
            </a:extLst>
          </xdr:cNvPr>
          <xdr:cNvGraphicFramePr>
            <a:graphicFrameLocks/>
          </xdr:cNvGraphicFramePr>
        </xdr:nvGraphicFramePr>
        <xdr:xfrm>
          <a:off x="27251297" y="417983"/>
          <a:ext cx="4125511" cy="17151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776AF3A5-8A3E-5996-5183-2D5F9E786F0E}"/>
              </a:ext>
            </a:extLst>
          </xdr:cNvPr>
          <xdr:cNvSpPr txBox="1"/>
        </xdr:nvSpPr>
        <xdr:spPr>
          <a:xfrm>
            <a:off x="28234383" y="7043087"/>
            <a:ext cx="4358619" cy="1547918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de-DE" sz="11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 6.0 </a:t>
            </a:r>
            <a:r>
              <a:rPr lang="de-DE" sz="8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⨉</a:t>
            </a:r>
            <a:r>
              <a:rPr lang="de-DE" sz="11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10</a:t>
            </a:r>
            <a:r>
              <a:rPr lang="de-DE" sz="1100" baseline="300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4	</a:t>
            </a:r>
            <a:r>
              <a:rPr lang="de-DE" sz="1100" i="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standard roughness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 6.0	standard roughness, 0.20c simulated split flap deflect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	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	a.c. position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	 </a:t>
            </a:r>
            <a:r>
              <a:rPr lang="de-DE" sz="1100" i="1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x/c     y/c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 8.9	.268    -.062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 6.0	.266    -.065</a:t>
            </a:r>
          </a:p>
          <a:p>
            <a:r>
              <a:rPr lang="de-DE" sz="11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   3.0	.266    -.063</a:t>
            </a:r>
          </a:p>
        </xdr:txBody>
      </xdr:sp>
      <xdr:graphicFrame macro="">
        <xdr:nvGraphicFramePr>
          <xdr:cNvPr id="8" name="Diagramm 7">
            <a:extLst>
              <a:ext uri="{FF2B5EF4-FFF2-40B4-BE49-F238E27FC236}">
                <a16:creationId xmlns:a16="http://schemas.microsoft.com/office/drawing/2014/main" id="{FDBBC839-EA0C-4965-BCB6-320239CF5114}"/>
              </a:ext>
            </a:extLst>
          </xdr:cNvPr>
          <xdr:cNvGraphicFramePr>
            <a:graphicFrameLocks/>
          </xdr:cNvGraphicFramePr>
        </xdr:nvGraphicFramePr>
        <xdr:xfrm>
          <a:off x="26181939" y="52139"/>
          <a:ext cx="6597864" cy="903228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548D9519-98EA-4B42-A8B4-56CBF3D679B9}"/>
              </a:ext>
            </a:extLst>
          </xdr:cNvPr>
          <xdr:cNvSpPr txBox="1"/>
        </xdr:nvSpPr>
        <xdr:spPr>
          <a:xfrm rot="16200000">
            <a:off x="26996720" y="1005916"/>
            <a:ext cx="438748" cy="31334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i="1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y/c</a:t>
            </a:r>
            <a:endParaRPr lang="el-GR" sz="1100" i="1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81142A5F-AFFD-4C4C-96E8-608E49034772}"/>
              </a:ext>
            </a:extLst>
          </xdr:cNvPr>
          <xdr:cNvSpPr txBox="1"/>
        </xdr:nvSpPr>
        <xdr:spPr>
          <a:xfrm>
            <a:off x="29253264" y="2013165"/>
            <a:ext cx="442590" cy="3120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i="1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x/c</a:t>
            </a:r>
            <a:endParaRPr lang="el-GR" sz="1100" i="1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3" name="Textfeld 12">
            <a:extLst>
              <a:ext uri="{FF2B5EF4-FFF2-40B4-BE49-F238E27FC236}">
                <a16:creationId xmlns:a16="http://schemas.microsoft.com/office/drawing/2014/main" id="{B0095165-A6B4-4A94-9A07-1A62778BECFA}"/>
              </a:ext>
            </a:extLst>
          </xdr:cNvPr>
          <xdr:cNvSpPr txBox="1"/>
        </xdr:nvSpPr>
        <xdr:spPr>
          <a:xfrm rot="16200000">
            <a:off x="26090079" y="3770298"/>
            <a:ext cx="1989434" cy="3106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5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Section drag coefficient </a:t>
            </a:r>
            <a:r>
              <a:rPr lang="de-DE" sz="1100" i="1">
                <a:solidFill>
                  <a:schemeClr val="accent5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1100" baseline="-25000">
                <a:solidFill>
                  <a:schemeClr val="accent5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D</a:t>
            </a:r>
            <a:endParaRPr lang="el-GR" sz="1100" baseline="-25000">
              <a:solidFill>
                <a:schemeClr val="accent5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5" name="Rechteck: abgerundete Ecken 14">
            <a:extLst>
              <a:ext uri="{FF2B5EF4-FFF2-40B4-BE49-F238E27FC236}">
                <a16:creationId xmlns:a16="http://schemas.microsoft.com/office/drawing/2014/main" id="{60DD0D63-0B96-F7C6-EBE2-0C3E6081DF52}"/>
              </a:ext>
            </a:extLst>
          </xdr:cNvPr>
          <xdr:cNvSpPr/>
        </xdr:nvSpPr>
        <xdr:spPr>
          <a:xfrm>
            <a:off x="30168669" y="3057797"/>
            <a:ext cx="1023257" cy="511629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16" name="Gruppieren 15">
            <a:extLst>
              <a:ext uri="{FF2B5EF4-FFF2-40B4-BE49-F238E27FC236}">
                <a16:creationId xmlns:a16="http://schemas.microsoft.com/office/drawing/2014/main" id="{B14834D4-F694-4623-81E5-7892A3BC5AE6}"/>
              </a:ext>
            </a:extLst>
          </xdr:cNvPr>
          <xdr:cNvGrpSpPr/>
        </xdr:nvGrpSpPr>
        <xdr:grpSpPr>
          <a:xfrm>
            <a:off x="30608195" y="4911141"/>
            <a:ext cx="378824" cy="378822"/>
            <a:chOff x="9231085" y="4101737"/>
            <a:chExt cx="378824" cy="387532"/>
          </a:xfrm>
        </xdr:grpSpPr>
        <xdr:sp macro="" textlink="">
          <xdr:nvSpPr>
            <xdr:cNvPr id="17" name="Ellipse 16">
              <a:extLst>
                <a:ext uri="{FF2B5EF4-FFF2-40B4-BE49-F238E27FC236}">
                  <a16:creationId xmlns:a16="http://schemas.microsoft.com/office/drawing/2014/main" id="{07C73FD4-BEE4-0AF9-0C14-9118313CB9BB}"/>
                </a:ext>
              </a:extLst>
            </xdr:cNvPr>
            <xdr:cNvSpPr/>
          </xdr:nvSpPr>
          <xdr:spPr>
            <a:xfrm>
              <a:off x="9324230" y="4195449"/>
              <a:ext cx="198782" cy="200297"/>
            </a:xfrm>
            <a:prstGeom prst="ellipse">
              <a:avLst/>
            </a:prstGeom>
            <a:noFill/>
            <a:ln w="254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D7E8748-4843-7B61-1C78-E4EC563C9237}"/>
                </a:ext>
              </a:extLst>
            </xdr:cNvPr>
            <xdr:cNvCxnSpPr/>
          </xdr:nvCxnSpPr>
          <xdr:spPr>
            <a:xfrm>
              <a:off x="9422674" y="4101737"/>
              <a:ext cx="0" cy="387532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" name="Gerader Verbinder 18">
              <a:extLst>
                <a:ext uri="{FF2B5EF4-FFF2-40B4-BE49-F238E27FC236}">
                  <a16:creationId xmlns:a16="http://schemas.microsoft.com/office/drawing/2014/main" id="{845D13C8-35DA-201A-936B-94180C22D71B}"/>
                </a:ext>
              </a:extLst>
            </xdr:cNvPr>
            <xdr:cNvCxnSpPr/>
          </xdr:nvCxnSpPr>
          <xdr:spPr>
            <a:xfrm flipH="1">
              <a:off x="9231085" y="4293325"/>
              <a:ext cx="378824" cy="0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0" name="Gerade Verbindung mit Pfeil 19">
            <a:extLst>
              <a:ext uri="{FF2B5EF4-FFF2-40B4-BE49-F238E27FC236}">
                <a16:creationId xmlns:a16="http://schemas.microsoft.com/office/drawing/2014/main" id="{9DDF248B-DE8B-46D8-A3FB-1B873DCE80CC}"/>
              </a:ext>
            </a:extLst>
          </xdr:cNvPr>
          <xdr:cNvCxnSpPr/>
        </xdr:nvCxnSpPr>
        <xdr:spPr>
          <a:xfrm>
            <a:off x="30729126" y="3654498"/>
            <a:ext cx="51320" cy="1174405"/>
          </a:xfrm>
          <a:prstGeom prst="straightConnector1">
            <a:avLst/>
          </a:prstGeom>
          <a:ln w="25400" cap="rnd">
            <a:solidFill>
              <a:sysClr val="windowText" lastClr="000000"/>
            </a:solidFill>
            <a:round/>
            <a:headEnd type="none"/>
            <a:tailEnd type="triangle" w="lg" len="lg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" name="Textfeld 21">
            <a:extLst>
              <a:ext uri="{FF2B5EF4-FFF2-40B4-BE49-F238E27FC236}">
                <a16:creationId xmlns:a16="http://schemas.microsoft.com/office/drawing/2014/main" id="{92803401-3B66-4DDB-8992-F5967EEA15B7}"/>
              </a:ext>
            </a:extLst>
          </xdr:cNvPr>
          <xdr:cNvSpPr txBox="1"/>
        </xdr:nvSpPr>
        <xdr:spPr>
          <a:xfrm>
            <a:off x="29640711" y="2996837"/>
            <a:ext cx="2027859" cy="56804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 i="1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2400" i="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W,min</a:t>
            </a:r>
            <a:endParaRPr lang="el-GR" sz="2400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5" name="Rechteck: abgerundete Ecken 24">
            <a:extLst>
              <a:ext uri="{FF2B5EF4-FFF2-40B4-BE49-F238E27FC236}">
                <a16:creationId xmlns:a16="http://schemas.microsoft.com/office/drawing/2014/main" id="{AF481F86-E5E3-455C-BD52-62D5B3781445}"/>
              </a:ext>
            </a:extLst>
          </xdr:cNvPr>
          <xdr:cNvSpPr/>
        </xdr:nvSpPr>
        <xdr:spPr>
          <a:xfrm>
            <a:off x="28564114" y="5083629"/>
            <a:ext cx="748937" cy="513805"/>
          </a:xfrm>
          <a:prstGeom prst="roundRect">
            <a:avLst>
              <a:gd name="adj" fmla="val 19608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6" name="Gruppieren 35">
            <a:extLst>
              <a:ext uri="{FF2B5EF4-FFF2-40B4-BE49-F238E27FC236}">
                <a16:creationId xmlns:a16="http://schemas.microsoft.com/office/drawing/2014/main" id="{32AA7CC0-6FE6-47B6-9F30-D4BA94B03EFA}"/>
              </a:ext>
            </a:extLst>
          </xdr:cNvPr>
          <xdr:cNvGrpSpPr/>
        </xdr:nvGrpSpPr>
        <xdr:grpSpPr>
          <a:xfrm>
            <a:off x="29988798" y="4610695"/>
            <a:ext cx="378824" cy="378823"/>
            <a:chOff x="9231085" y="4101737"/>
            <a:chExt cx="378824" cy="387532"/>
          </a:xfrm>
        </xdr:grpSpPr>
        <xdr:sp macro="" textlink="">
          <xdr:nvSpPr>
            <xdr:cNvPr id="38" name="Ellipse 37">
              <a:extLst>
                <a:ext uri="{FF2B5EF4-FFF2-40B4-BE49-F238E27FC236}">
                  <a16:creationId xmlns:a16="http://schemas.microsoft.com/office/drawing/2014/main" id="{0B12E4BE-EDD2-36A7-E8D8-E9DCAC458DA2}"/>
                </a:ext>
              </a:extLst>
            </xdr:cNvPr>
            <xdr:cNvSpPr/>
          </xdr:nvSpPr>
          <xdr:spPr>
            <a:xfrm>
              <a:off x="9324230" y="4195449"/>
              <a:ext cx="198782" cy="200297"/>
            </a:xfrm>
            <a:prstGeom prst="ellipse">
              <a:avLst/>
            </a:prstGeom>
            <a:noFill/>
            <a:ln w="254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cxnSp macro="">
          <xdr:nvCxnSpPr>
            <xdr:cNvPr id="39" name="Gerader Verbinder 38">
              <a:extLst>
                <a:ext uri="{FF2B5EF4-FFF2-40B4-BE49-F238E27FC236}">
                  <a16:creationId xmlns:a16="http://schemas.microsoft.com/office/drawing/2014/main" id="{4F663966-ACBE-5524-4E2D-96080F8ECFAC}"/>
                </a:ext>
              </a:extLst>
            </xdr:cNvPr>
            <xdr:cNvCxnSpPr/>
          </xdr:nvCxnSpPr>
          <xdr:spPr>
            <a:xfrm>
              <a:off x="9422674" y="4101737"/>
              <a:ext cx="0" cy="387532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1" name="Gerader Verbinder 40">
              <a:extLst>
                <a:ext uri="{FF2B5EF4-FFF2-40B4-BE49-F238E27FC236}">
                  <a16:creationId xmlns:a16="http://schemas.microsoft.com/office/drawing/2014/main" id="{773037C1-FDDA-1D16-4F6E-29C4BD0558ED}"/>
                </a:ext>
              </a:extLst>
            </xdr:cNvPr>
            <xdr:cNvCxnSpPr/>
          </xdr:nvCxnSpPr>
          <xdr:spPr>
            <a:xfrm flipH="1">
              <a:off x="9231085" y="4293325"/>
              <a:ext cx="378824" cy="0"/>
            </a:xfrm>
            <a:prstGeom prst="line">
              <a:avLst/>
            </a:prstGeom>
            <a:ln w="25400" cap="rnd">
              <a:solidFill>
                <a:srgbClr val="FF0000"/>
              </a:solidFill>
              <a:round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4" name="Textfeld 13">
            <a:extLst>
              <a:ext uri="{FF2B5EF4-FFF2-40B4-BE49-F238E27FC236}">
                <a16:creationId xmlns:a16="http://schemas.microsoft.com/office/drawing/2014/main" id="{2CB21EA5-A1F1-4858-9C8E-4384EDE2F64C}"/>
              </a:ext>
            </a:extLst>
          </xdr:cNvPr>
          <xdr:cNvSpPr txBox="1"/>
        </xdr:nvSpPr>
        <xdr:spPr>
          <a:xfrm>
            <a:off x="27891377" y="5062946"/>
            <a:ext cx="2027859" cy="5680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 i="1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2400" i="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W0</a:t>
            </a:r>
            <a:endParaRPr lang="el-GR" sz="2400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cxnSp macro="">
        <xdr:nvCxnSpPr>
          <xdr:cNvPr id="42" name="Gerade Verbindung mit Pfeil 41">
            <a:extLst>
              <a:ext uri="{FF2B5EF4-FFF2-40B4-BE49-F238E27FC236}">
                <a16:creationId xmlns:a16="http://schemas.microsoft.com/office/drawing/2014/main" id="{C1FE029C-7788-4E8C-95C8-5D919EC6BDB6}"/>
              </a:ext>
            </a:extLst>
          </xdr:cNvPr>
          <xdr:cNvCxnSpPr/>
        </xdr:nvCxnSpPr>
        <xdr:spPr>
          <a:xfrm flipV="1">
            <a:off x="29259711" y="4887686"/>
            <a:ext cx="733698" cy="325483"/>
          </a:xfrm>
          <a:prstGeom prst="straightConnector1">
            <a:avLst/>
          </a:prstGeom>
          <a:ln w="25400" cap="rnd">
            <a:solidFill>
              <a:sysClr val="windowText" lastClr="000000"/>
            </a:solidFill>
            <a:round/>
            <a:headEnd type="none"/>
            <a:tailEnd type="triangle" w="lg" len="lg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Gerader Verbinder 52">
            <a:extLst>
              <a:ext uri="{FF2B5EF4-FFF2-40B4-BE49-F238E27FC236}">
                <a16:creationId xmlns:a16="http://schemas.microsoft.com/office/drawing/2014/main" id="{07B9E1F1-2CB5-6C84-DE60-258054F92CD5}"/>
              </a:ext>
            </a:extLst>
          </xdr:cNvPr>
          <xdr:cNvCxnSpPr/>
        </xdr:nvCxnSpPr>
        <xdr:spPr>
          <a:xfrm flipV="1">
            <a:off x="30183909" y="4233454"/>
            <a:ext cx="1863634" cy="1575163"/>
          </a:xfrm>
          <a:prstGeom prst="line">
            <a:avLst/>
          </a:prstGeom>
          <a:ln w="25400" cap="rnd">
            <a:solidFill>
              <a:schemeClr val="tx1"/>
            </a:solidFill>
            <a:round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5" name="Rechteck: abgerundete Ecken 54">
            <a:extLst>
              <a:ext uri="{FF2B5EF4-FFF2-40B4-BE49-F238E27FC236}">
                <a16:creationId xmlns:a16="http://schemas.microsoft.com/office/drawing/2014/main" id="{CB73B012-57CE-4F40-8454-D8D8B1A3FF79}"/>
              </a:ext>
            </a:extLst>
          </xdr:cNvPr>
          <xdr:cNvSpPr/>
        </xdr:nvSpPr>
        <xdr:spPr>
          <a:xfrm>
            <a:off x="31376983" y="4828903"/>
            <a:ext cx="1695994" cy="481148"/>
          </a:xfrm>
          <a:prstGeom prst="roundRect">
            <a:avLst>
              <a:gd name="adj" fmla="val 25858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56" name="Textfeld 55">
            <a:extLst>
              <a:ext uri="{FF2B5EF4-FFF2-40B4-BE49-F238E27FC236}">
                <a16:creationId xmlns:a16="http://schemas.microsoft.com/office/drawing/2014/main" id="{46E82A95-1795-4894-8E4F-D4D9D1F0FC0A}"/>
              </a:ext>
            </a:extLst>
          </xdr:cNvPr>
          <xdr:cNvSpPr txBox="1"/>
        </xdr:nvSpPr>
        <xdr:spPr>
          <a:xfrm>
            <a:off x="31191926" y="4790803"/>
            <a:ext cx="2027858" cy="5680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 i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Steigung</a:t>
            </a:r>
            <a:r>
              <a:rPr lang="de-DE" sz="2400" i="1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24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ε</a:t>
            </a:r>
            <a:endParaRPr lang="el-GR" sz="2400" baseline="-25000">
              <a:solidFill>
                <a:sysClr val="windowText" lastClr="000000"/>
              </a:solidFill>
              <a:latin typeface="Latin Modern Math" panose="02000503000000000000" pitchFamily="50" charset="0"/>
              <a:ea typeface="Latin Modern Math" panose="02000503000000000000" pitchFamily="50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9" name="Rechteck: abgerundete Ecken 58">
            <a:extLst>
              <a:ext uri="{FF2B5EF4-FFF2-40B4-BE49-F238E27FC236}">
                <a16:creationId xmlns:a16="http://schemas.microsoft.com/office/drawing/2014/main" id="{0BEDD4AB-790D-9FEB-6553-FA1907278091}"/>
              </a:ext>
            </a:extLst>
          </xdr:cNvPr>
          <xdr:cNvSpPr/>
        </xdr:nvSpPr>
        <xdr:spPr>
          <a:xfrm>
            <a:off x="24964209" y="7429500"/>
            <a:ext cx="3018608" cy="911134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61" name="Rechteck: abgerundete Ecken 60">
            <a:extLst>
              <a:ext uri="{FF2B5EF4-FFF2-40B4-BE49-F238E27FC236}">
                <a16:creationId xmlns:a16="http://schemas.microsoft.com/office/drawing/2014/main" id="{D290EECA-DC73-45A2-9107-8E528DC32739}"/>
              </a:ext>
            </a:extLst>
          </xdr:cNvPr>
          <xdr:cNvSpPr/>
        </xdr:nvSpPr>
        <xdr:spPr>
          <a:xfrm>
            <a:off x="30666146" y="7646126"/>
            <a:ext cx="2206534" cy="917665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57" name="Textfeld 56">
            <a:extLst>
              <a:ext uri="{FF2B5EF4-FFF2-40B4-BE49-F238E27FC236}">
                <a16:creationId xmlns:a16="http://schemas.microsoft.com/office/drawing/2014/main" id="{33E60FC2-9A0E-48F2-9E02-26389A0131CF}"/>
              </a:ext>
            </a:extLst>
          </xdr:cNvPr>
          <xdr:cNvSpPr txBox="1"/>
        </xdr:nvSpPr>
        <xdr:spPr>
          <a:xfrm>
            <a:off x="30574706" y="7594963"/>
            <a:ext cx="2290354" cy="10504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 i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Auf Rauhigkeit achten</a:t>
            </a:r>
            <a:endParaRPr lang="el-GR" sz="2400" i="0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60" name="Textfeld 59">
            <a:extLst>
              <a:ext uri="{FF2B5EF4-FFF2-40B4-BE49-F238E27FC236}">
                <a16:creationId xmlns:a16="http://schemas.microsoft.com/office/drawing/2014/main" id="{331E22CC-296E-4988-AF81-80A79E664D15}"/>
              </a:ext>
            </a:extLst>
          </xdr:cNvPr>
          <xdr:cNvSpPr txBox="1"/>
        </xdr:nvSpPr>
        <xdr:spPr>
          <a:xfrm>
            <a:off x="24926109" y="7353300"/>
            <a:ext cx="3087188" cy="10504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 i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Auf die richtige</a:t>
            </a:r>
            <a:r>
              <a:rPr lang="de-DE" sz="2400" i="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Reynoldszahl</a:t>
            </a:r>
            <a:r>
              <a:rPr lang="de-DE" sz="2400" i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achten</a:t>
            </a:r>
            <a:endParaRPr lang="el-GR" sz="2400" i="0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CB764-0364-4D02-ADAD-C72611A40ADD}">
  <dimension ref="B2:S95"/>
  <sheetViews>
    <sheetView tabSelected="1" zoomScale="70" zoomScaleNormal="70" workbookViewId="0">
      <selection activeCell="AI20" sqref="AI20"/>
    </sheetView>
  </sheetViews>
  <sheetFormatPr baseColWidth="10" defaultRowHeight="14.4" x14ac:dyDescent="0.3"/>
  <cols>
    <col min="1" max="1" width="2.6640625" customWidth="1"/>
    <col min="8" max="8" width="2.6640625" customWidth="1"/>
  </cols>
  <sheetData>
    <row r="2" spans="2:19" ht="15.6" x14ac:dyDescent="0.4">
      <c r="B2" s="3" t="s">
        <v>0</v>
      </c>
      <c r="C2" s="14" t="s">
        <v>4</v>
      </c>
      <c r="D2" s="15"/>
      <c r="E2" s="15"/>
      <c r="F2" s="15"/>
      <c r="G2" s="6" t="s">
        <v>9</v>
      </c>
      <c r="I2" s="23" t="s">
        <v>4</v>
      </c>
      <c r="J2" s="6" t="s">
        <v>9</v>
      </c>
      <c r="K2" s="14" t="s">
        <v>13</v>
      </c>
      <c r="L2" s="16"/>
      <c r="M2" s="1"/>
      <c r="N2" s="1"/>
      <c r="O2" s="1"/>
      <c r="P2" s="1"/>
      <c r="Q2" s="1"/>
      <c r="R2" s="1"/>
      <c r="S2" s="1"/>
    </row>
    <row r="3" spans="2:19" ht="15.6" x14ac:dyDescent="0.4">
      <c r="B3" s="3" t="s">
        <v>1</v>
      </c>
      <c r="C3" s="7" t="s">
        <v>5</v>
      </c>
      <c r="D3" s="2" t="s">
        <v>6</v>
      </c>
      <c r="E3" s="2" t="s">
        <v>7</v>
      </c>
      <c r="F3" s="3" t="s">
        <v>8</v>
      </c>
      <c r="G3" s="7" t="s">
        <v>10</v>
      </c>
      <c r="I3" s="24"/>
      <c r="J3" s="6" t="s">
        <v>12</v>
      </c>
      <c r="K3" s="7" t="s">
        <v>14</v>
      </c>
      <c r="L3" s="2" t="s">
        <v>15</v>
      </c>
      <c r="M3" s="1"/>
      <c r="N3" s="1"/>
      <c r="O3" s="1"/>
      <c r="P3" s="1"/>
      <c r="Q3" s="1"/>
      <c r="R3" s="1"/>
      <c r="S3" s="1"/>
    </row>
    <row r="4" spans="2:19" ht="15.6" x14ac:dyDescent="0.4">
      <c r="B4" s="3" t="s">
        <v>2</v>
      </c>
      <c r="C4" s="7" t="s">
        <v>3</v>
      </c>
      <c r="D4" s="2" t="s">
        <v>3</v>
      </c>
      <c r="E4" s="2" t="s">
        <v>3</v>
      </c>
      <c r="F4" s="3" t="s">
        <v>3</v>
      </c>
      <c r="G4" s="7" t="s">
        <v>3</v>
      </c>
      <c r="I4" s="25" t="s">
        <v>3</v>
      </c>
      <c r="J4" s="6" t="s">
        <v>3</v>
      </c>
      <c r="K4" s="7" t="s">
        <v>3</v>
      </c>
      <c r="L4" s="2" t="s">
        <v>3</v>
      </c>
      <c r="M4" s="1"/>
      <c r="N4" s="1"/>
      <c r="O4" s="1"/>
      <c r="P4" s="1"/>
      <c r="Q4" s="1"/>
      <c r="R4" s="1"/>
      <c r="S4" s="1"/>
    </row>
    <row r="5" spans="2:19" ht="15.6" x14ac:dyDescent="0.4">
      <c r="B5" s="4">
        <v>-32</v>
      </c>
      <c r="C5" s="8"/>
      <c r="D5" s="9"/>
      <c r="E5" s="9"/>
      <c r="F5" s="10"/>
      <c r="G5" s="8"/>
      <c r="I5" s="26"/>
      <c r="J5" s="21"/>
      <c r="K5" s="30"/>
      <c r="L5" s="31"/>
    </row>
    <row r="6" spans="2:19" ht="15.6" x14ac:dyDescent="0.4">
      <c r="B6" s="4">
        <v>-30</v>
      </c>
      <c r="C6" s="8"/>
      <c r="D6" s="9"/>
      <c r="E6" s="9"/>
      <c r="F6" s="10"/>
      <c r="G6" s="8"/>
      <c r="I6" s="26"/>
      <c r="J6" s="21"/>
      <c r="K6" s="30"/>
      <c r="L6" s="31"/>
    </row>
    <row r="7" spans="2:19" ht="15.6" x14ac:dyDescent="0.4">
      <c r="B7" s="4">
        <v>-28</v>
      </c>
      <c r="C7" s="8"/>
      <c r="D7" s="9"/>
      <c r="E7" s="9"/>
      <c r="F7" s="10"/>
      <c r="G7" s="8"/>
      <c r="I7" s="26"/>
      <c r="J7" s="21"/>
      <c r="K7" s="30"/>
      <c r="L7" s="31"/>
    </row>
    <row r="8" spans="2:19" ht="15.6" x14ac:dyDescent="0.4">
      <c r="B8" s="4">
        <v>-26</v>
      </c>
      <c r="C8" s="8"/>
      <c r="D8" s="9"/>
      <c r="E8" s="9"/>
      <c r="F8" s="10"/>
      <c r="G8" s="8"/>
      <c r="I8" s="26"/>
      <c r="J8" s="21"/>
      <c r="K8" s="30"/>
      <c r="L8" s="31"/>
    </row>
    <row r="9" spans="2:19" ht="15.6" x14ac:dyDescent="0.4">
      <c r="B9" s="4">
        <v>-24</v>
      </c>
      <c r="C9" s="8"/>
      <c r="D9" s="9"/>
      <c r="E9" s="9"/>
      <c r="F9" s="10"/>
      <c r="G9" s="8"/>
      <c r="I9" s="26"/>
      <c r="J9" s="21"/>
      <c r="K9" s="30"/>
      <c r="L9" s="31"/>
    </row>
    <row r="10" spans="2:19" ht="15.6" x14ac:dyDescent="0.4">
      <c r="B10" s="4">
        <v>-22</v>
      </c>
      <c r="C10" s="8"/>
      <c r="D10" s="9"/>
      <c r="E10" s="9"/>
      <c r="F10" s="10"/>
      <c r="G10" s="8"/>
      <c r="I10" s="26"/>
      <c r="J10" s="21"/>
      <c r="K10" s="30"/>
      <c r="L10" s="31"/>
    </row>
    <row r="11" spans="2:19" ht="15.6" x14ac:dyDescent="0.4">
      <c r="B11" s="4">
        <v>-20</v>
      </c>
      <c r="C11" s="8"/>
      <c r="D11" s="9"/>
      <c r="E11" s="9"/>
      <c r="F11" s="10"/>
      <c r="G11" s="8"/>
      <c r="I11" s="26"/>
      <c r="J11" s="21"/>
      <c r="K11" s="30"/>
      <c r="L11" s="31"/>
    </row>
    <row r="12" spans="2:19" ht="15.6" x14ac:dyDescent="0.4">
      <c r="B12" s="4">
        <v>-18</v>
      </c>
      <c r="C12" s="8"/>
      <c r="D12" s="9"/>
      <c r="E12" s="9"/>
      <c r="F12" s="10"/>
      <c r="G12" s="8"/>
      <c r="I12" s="26"/>
      <c r="J12" s="21"/>
      <c r="K12" s="30"/>
      <c r="L12" s="31"/>
    </row>
    <row r="13" spans="2:19" ht="15.6" x14ac:dyDescent="0.4">
      <c r="B13" s="4">
        <v>-16</v>
      </c>
      <c r="C13" s="8">
        <v>-0.3</v>
      </c>
      <c r="D13" s="9"/>
      <c r="E13" s="9"/>
      <c r="F13" s="10"/>
      <c r="G13" s="8"/>
      <c r="I13" s="26">
        <v>-1.6</v>
      </c>
      <c r="K13" s="30"/>
      <c r="L13" s="31"/>
    </row>
    <row r="14" spans="2:19" ht="15.6" x14ac:dyDescent="0.4">
      <c r="B14" s="4">
        <v>-14</v>
      </c>
      <c r="C14" s="8">
        <v>0</v>
      </c>
      <c r="D14" s="9"/>
      <c r="E14" s="9"/>
      <c r="F14" s="10"/>
      <c r="G14" s="8"/>
      <c r="I14" s="26">
        <v>-1.4</v>
      </c>
      <c r="J14" s="21"/>
      <c r="K14" s="30"/>
      <c r="L14" s="31"/>
    </row>
    <row r="15" spans="2:19" ht="15.6" x14ac:dyDescent="0.4">
      <c r="B15" s="4">
        <v>-12</v>
      </c>
      <c r="C15" s="8">
        <v>0.25</v>
      </c>
      <c r="D15" s="9">
        <v>0.2</v>
      </c>
      <c r="E15" s="9"/>
      <c r="F15" s="10">
        <v>-1.06</v>
      </c>
      <c r="G15" s="8">
        <v>-0.19</v>
      </c>
      <c r="I15" s="26">
        <v>-1.2</v>
      </c>
      <c r="J15" s="21"/>
      <c r="K15" s="30"/>
      <c r="L15" s="31"/>
    </row>
    <row r="16" spans="2:19" ht="15.6" x14ac:dyDescent="0.4">
      <c r="B16" s="4">
        <v>-10</v>
      </c>
      <c r="C16" s="8">
        <v>0.5</v>
      </c>
      <c r="D16" s="9">
        <v>0.45</v>
      </c>
      <c r="E16" s="9">
        <v>-0.8</v>
      </c>
      <c r="F16" s="10">
        <f>E16-0.02</f>
        <v>-0.82000000000000006</v>
      </c>
      <c r="G16" s="8">
        <f>0-0.196</f>
        <v>-0.19600000000000001</v>
      </c>
      <c r="I16" s="26">
        <v>-0.999999999999999</v>
      </c>
      <c r="J16" s="21"/>
      <c r="K16" s="30"/>
      <c r="L16" s="31"/>
    </row>
    <row r="17" spans="2:12" ht="15.6" x14ac:dyDescent="0.4">
      <c r="B17" s="4">
        <v>-8</v>
      </c>
      <c r="C17" s="8">
        <v>0.75</v>
      </c>
      <c r="D17" s="9">
        <v>0.7</v>
      </c>
      <c r="E17" s="9">
        <v>-0.55000000000000004</v>
      </c>
      <c r="F17" s="10">
        <f t="shared" ref="F17:F23" si="0">E17-0.02</f>
        <v>-0.57000000000000006</v>
      </c>
      <c r="G17" s="8">
        <v>-0.21</v>
      </c>
      <c r="I17" s="26">
        <v>-0.79999999999999905</v>
      </c>
      <c r="J17" s="21"/>
      <c r="K17" s="30"/>
      <c r="L17" s="31"/>
    </row>
    <row r="18" spans="2:12" ht="15.6" x14ac:dyDescent="0.4">
      <c r="B18" s="4">
        <v>-6</v>
      </c>
      <c r="C18" s="8">
        <v>1</v>
      </c>
      <c r="D18" s="9">
        <v>0.94</v>
      </c>
      <c r="E18" s="9">
        <v>-0.32</v>
      </c>
      <c r="F18" s="10">
        <f t="shared" si="0"/>
        <v>-0.34</v>
      </c>
      <c r="G18" s="8">
        <v>-0.21</v>
      </c>
      <c r="I18" s="26">
        <v>-0.6</v>
      </c>
      <c r="J18" s="21"/>
      <c r="K18" s="30">
        <v>2.4500000000000001E-2</v>
      </c>
      <c r="L18" s="31">
        <v>1.0800000000000001E-2</v>
      </c>
    </row>
    <row r="19" spans="2:12" ht="15.6" x14ac:dyDescent="0.4">
      <c r="B19" s="4">
        <v>-4</v>
      </c>
      <c r="C19" s="8">
        <v>1.25</v>
      </c>
      <c r="D19" s="9">
        <v>1.1850000000000001</v>
      </c>
      <c r="E19" s="9">
        <v>-0.11</v>
      </c>
      <c r="F19" s="10">
        <f t="shared" si="0"/>
        <v>-0.13</v>
      </c>
      <c r="G19" s="8">
        <v>-0.23200000000000001</v>
      </c>
      <c r="I19" s="26">
        <v>-0.4</v>
      </c>
      <c r="J19" s="21">
        <v>-6.5000000000000002E-2</v>
      </c>
      <c r="K19" s="30">
        <v>1.44E-2</v>
      </c>
      <c r="L19" s="31">
        <v>9.4000000000000004E-3</v>
      </c>
    </row>
    <row r="20" spans="2:12" ht="15.6" x14ac:dyDescent="0.4">
      <c r="B20" s="4">
        <v>-2</v>
      </c>
      <c r="C20" s="8">
        <v>1.45</v>
      </c>
      <c r="D20" s="9">
        <v>1.38</v>
      </c>
      <c r="E20" s="9">
        <v>0.1</v>
      </c>
      <c r="F20" s="10">
        <f t="shared" si="0"/>
        <v>0.08</v>
      </c>
      <c r="G20" s="8">
        <v>-0.26</v>
      </c>
      <c r="I20" s="26">
        <v>-0.2</v>
      </c>
      <c r="J20" s="21">
        <v>-6.4000000000000001E-2</v>
      </c>
      <c r="K20" s="30">
        <v>1.1599999999999999E-2</v>
      </c>
      <c r="L20" s="31">
        <v>8.2000000000000007E-3</v>
      </c>
    </row>
    <row r="21" spans="2:12" ht="15.6" x14ac:dyDescent="0.4">
      <c r="B21" s="4">
        <v>0</v>
      </c>
      <c r="C21" s="8">
        <v>1.66</v>
      </c>
      <c r="D21" s="9">
        <v>1.6</v>
      </c>
      <c r="E21" s="9">
        <v>0.32</v>
      </c>
      <c r="F21" s="10">
        <f t="shared" si="0"/>
        <v>0.3</v>
      </c>
      <c r="G21" s="8">
        <v>-0.28000000000000003</v>
      </c>
      <c r="I21" s="26">
        <v>0</v>
      </c>
      <c r="J21" s="21">
        <v>-6.4600000000000005E-2</v>
      </c>
      <c r="K21" s="30">
        <v>1.06E-2</v>
      </c>
      <c r="L21" s="31">
        <v>6.7999999999999996E-3</v>
      </c>
    </row>
    <row r="22" spans="2:12" ht="15.6" x14ac:dyDescent="0.4">
      <c r="B22" s="4">
        <v>2</v>
      </c>
      <c r="C22" s="8">
        <v>1.87</v>
      </c>
      <c r="D22" s="9">
        <v>1.81</v>
      </c>
      <c r="E22" s="9">
        <v>0.55000000000000004</v>
      </c>
      <c r="F22" s="10">
        <f t="shared" si="0"/>
        <v>0.53</v>
      </c>
      <c r="G22" s="8">
        <v>-0.28999999999999998</v>
      </c>
      <c r="I22" s="26">
        <v>0.2</v>
      </c>
      <c r="J22" s="21">
        <v>-6.4600000000000005E-2</v>
      </c>
      <c r="K22" s="30">
        <v>1.0200000000000001E-2</v>
      </c>
      <c r="L22" s="31">
        <v>5.1000000000000004E-3</v>
      </c>
    </row>
    <row r="23" spans="2:12" ht="15.6" x14ac:dyDescent="0.4">
      <c r="B23" s="4">
        <v>4</v>
      </c>
      <c r="C23" s="8">
        <v>2.08</v>
      </c>
      <c r="D23" s="9">
        <v>2.02</v>
      </c>
      <c r="E23" s="9">
        <v>0.76500000000000001</v>
      </c>
      <c r="F23" s="10">
        <f t="shared" si="0"/>
        <v>0.745</v>
      </c>
      <c r="G23" s="8">
        <v>-0.3</v>
      </c>
      <c r="I23" s="26">
        <v>0.4</v>
      </c>
      <c r="J23" s="21">
        <v>-6.7000000000000004E-2</v>
      </c>
      <c r="K23" s="30">
        <v>1.04E-2</v>
      </c>
      <c r="L23" s="31">
        <v>4.7999999999999996E-3</v>
      </c>
    </row>
    <row r="24" spans="2:12" ht="15.6" x14ac:dyDescent="0.4">
      <c r="B24" s="5">
        <v>6</v>
      </c>
      <c r="C24" s="8">
        <v>2.2599999999999998</v>
      </c>
      <c r="D24" s="9">
        <v>2.17</v>
      </c>
      <c r="E24" s="9">
        <v>0.95</v>
      </c>
      <c r="F24" s="10">
        <f>E24-0.03</f>
        <v>0.91999999999999993</v>
      </c>
      <c r="G24" s="8">
        <v>-0.28599999999999998</v>
      </c>
      <c r="I24" s="26">
        <v>0.6</v>
      </c>
      <c r="J24" s="21">
        <v>-6.7000000000000004E-2</v>
      </c>
      <c r="K24" s="30">
        <v>1.1599999999999999E-2</v>
      </c>
      <c r="L24" s="31">
        <v>5.3E-3</v>
      </c>
    </row>
    <row r="25" spans="2:12" ht="15.6" x14ac:dyDescent="0.4">
      <c r="B25" s="5">
        <v>7</v>
      </c>
      <c r="C25" s="8">
        <v>2.35</v>
      </c>
      <c r="D25" s="9">
        <v>2.1</v>
      </c>
      <c r="E25" s="9">
        <v>1.05</v>
      </c>
      <c r="F25" s="10">
        <f>E25-0.05</f>
        <v>1</v>
      </c>
      <c r="G25" s="28">
        <f>(G24+G26)/2</f>
        <v>-0.28799999999999998</v>
      </c>
      <c r="I25" s="26">
        <v>0.8</v>
      </c>
      <c r="J25" s="21">
        <v>-6.7000000000000004E-2</v>
      </c>
      <c r="K25" s="30">
        <v>1.4E-2</v>
      </c>
      <c r="L25" s="31">
        <v>8.6E-3</v>
      </c>
    </row>
    <row r="26" spans="2:12" ht="15.6" x14ac:dyDescent="0.4">
      <c r="B26" s="5">
        <v>8</v>
      </c>
      <c r="C26" s="8">
        <v>2.4300000000000002</v>
      </c>
      <c r="D26" s="9">
        <v>1.96</v>
      </c>
      <c r="E26" s="9">
        <v>1.1499999999999999</v>
      </c>
      <c r="F26" s="10">
        <v>1.05</v>
      </c>
      <c r="G26" s="8">
        <v>-0.28999999999999998</v>
      </c>
      <c r="I26" s="26">
        <v>1</v>
      </c>
      <c r="J26" s="21">
        <v>-6.7400000000000002E-2</v>
      </c>
      <c r="K26" s="30">
        <v>1.8599999999999998E-2</v>
      </c>
      <c r="L26" s="31">
        <v>1.2500000000000001E-2</v>
      </c>
    </row>
    <row r="27" spans="2:12" ht="15.6" x14ac:dyDescent="0.4">
      <c r="B27" s="5">
        <v>9</v>
      </c>
      <c r="C27" s="8">
        <v>2.52</v>
      </c>
      <c r="D27" s="9">
        <v>1.86</v>
      </c>
      <c r="E27" s="9">
        <v>1.25</v>
      </c>
      <c r="F27" s="10">
        <v>1.1200000000000001</v>
      </c>
      <c r="G27" s="28">
        <f>(G26+G28)/2</f>
        <v>-0.28500000000000003</v>
      </c>
      <c r="I27" s="26">
        <v>1.2</v>
      </c>
      <c r="J27" s="21">
        <v>-6.7500000000000004E-2</v>
      </c>
      <c r="K27" s="30">
        <v>2.9000000000000001E-2</v>
      </c>
      <c r="L27" s="31">
        <v>1.78E-2</v>
      </c>
    </row>
    <row r="28" spans="2:12" ht="15.6" x14ac:dyDescent="0.4">
      <c r="B28" s="5">
        <v>10</v>
      </c>
      <c r="C28" s="8">
        <v>2.57</v>
      </c>
      <c r="D28" s="9"/>
      <c r="E28" s="9">
        <v>1.34</v>
      </c>
      <c r="F28" s="10">
        <v>1.18</v>
      </c>
      <c r="G28" s="8">
        <v>-0.28000000000000003</v>
      </c>
      <c r="I28" s="26">
        <v>1.4</v>
      </c>
      <c r="J28" s="21"/>
      <c r="K28" s="30"/>
      <c r="L28" s="31"/>
    </row>
    <row r="29" spans="2:12" ht="15.6" x14ac:dyDescent="0.4">
      <c r="B29" s="5">
        <v>11</v>
      </c>
      <c r="C29" s="8">
        <v>2.6</v>
      </c>
      <c r="D29" s="9"/>
      <c r="E29" s="9">
        <v>1.43</v>
      </c>
      <c r="F29" s="10">
        <v>1.21</v>
      </c>
      <c r="G29" s="28">
        <f>(G28+G30)/2</f>
        <v>-0.26750000000000002</v>
      </c>
      <c r="I29" s="26">
        <v>1.6</v>
      </c>
      <c r="J29" s="21"/>
      <c r="K29" s="30"/>
      <c r="L29" s="31"/>
    </row>
    <row r="30" spans="2:12" ht="15.6" x14ac:dyDescent="0.4">
      <c r="B30" s="5">
        <v>12</v>
      </c>
      <c r="C30" s="8">
        <v>2.5299999999999998</v>
      </c>
      <c r="D30" s="9"/>
      <c r="E30" s="9">
        <v>1.49</v>
      </c>
      <c r="F30" s="10">
        <v>1.23</v>
      </c>
      <c r="G30" s="8">
        <v>-0.255</v>
      </c>
      <c r="I30" s="26"/>
      <c r="J30" s="21"/>
      <c r="K30" s="30"/>
      <c r="L30" s="31"/>
    </row>
    <row r="31" spans="2:12" ht="15.6" x14ac:dyDescent="0.4">
      <c r="B31" s="5">
        <v>13</v>
      </c>
      <c r="C31" s="8">
        <v>2.4500000000000002</v>
      </c>
      <c r="D31" s="9"/>
      <c r="E31" s="9">
        <v>1.53</v>
      </c>
      <c r="F31" s="10">
        <v>1.24</v>
      </c>
      <c r="G31" s="28">
        <f>(G30+G32)/2</f>
        <v>-0.24249999999999999</v>
      </c>
      <c r="I31" s="26"/>
      <c r="J31" s="21"/>
      <c r="K31" s="30"/>
      <c r="L31" s="31"/>
    </row>
    <row r="32" spans="2:12" ht="15.6" x14ac:dyDescent="0.4">
      <c r="B32" s="5">
        <v>14</v>
      </c>
      <c r="C32" s="8"/>
      <c r="D32" s="9"/>
      <c r="E32" s="9">
        <v>1.58</v>
      </c>
      <c r="F32" s="10">
        <v>1.23</v>
      </c>
      <c r="G32" s="8">
        <v>-0.23</v>
      </c>
      <c r="I32" s="26"/>
      <c r="J32" s="21"/>
      <c r="K32" s="30"/>
      <c r="L32" s="31"/>
    </row>
    <row r="33" spans="2:12" ht="15.6" x14ac:dyDescent="0.4">
      <c r="B33" s="5">
        <v>15</v>
      </c>
      <c r="C33" s="8"/>
      <c r="D33" s="9"/>
      <c r="E33" s="9">
        <v>1.61</v>
      </c>
      <c r="F33" s="10">
        <v>1.1000000000000001</v>
      </c>
      <c r="G33" s="28">
        <f>(G32+G34)/2</f>
        <v>-0.255</v>
      </c>
      <c r="I33" s="26"/>
      <c r="J33" s="21"/>
      <c r="K33" s="30"/>
      <c r="L33" s="31"/>
    </row>
    <row r="34" spans="2:12" ht="15.6" x14ac:dyDescent="0.4">
      <c r="B34" s="5">
        <v>16</v>
      </c>
      <c r="C34" s="8"/>
      <c r="D34" s="9"/>
      <c r="E34" s="9">
        <v>1.595</v>
      </c>
      <c r="F34" s="10"/>
      <c r="G34" s="8">
        <v>-0.28000000000000003</v>
      </c>
      <c r="I34" s="26"/>
      <c r="J34" s="21"/>
      <c r="K34" s="30"/>
      <c r="L34" s="31"/>
    </row>
    <row r="35" spans="2:12" ht="15.6" x14ac:dyDescent="0.4">
      <c r="B35" s="4">
        <v>18</v>
      </c>
      <c r="C35" s="8"/>
      <c r="D35" s="9"/>
      <c r="E35" s="9">
        <v>1.56</v>
      </c>
      <c r="F35" s="10"/>
      <c r="G35" s="8">
        <v>-0.37</v>
      </c>
      <c r="I35" s="26"/>
      <c r="J35" s="21"/>
      <c r="K35" s="30"/>
      <c r="L35" s="31"/>
    </row>
    <row r="36" spans="2:12" ht="15.6" x14ac:dyDescent="0.4">
      <c r="B36" s="4">
        <v>20</v>
      </c>
      <c r="C36" s="8"/>
      <c r="D36" s="9"/>
      <c r="E36" s="9">
        <v>1.46</v>
      </c>
      <c r="F36" s="10"/>
      <c r="G36" s="8">
        <v>-0.48</v>
      </c>
      <c r="I36" s="26"/>
      <c r="J36" s="21"/>
      <c r="K36" s="30"/>
      <c r="L36" s="31"/>
    </row>
    <row r="37" spans="2:12" ht="15.6" x14ac:dyDescent="0.4">
      <c r="B37" s="4">
        <v>22</v>
      </c>
      <c r="C37" s="8"/>
      <c r="D37" s="9"/>
      <c r="E37" s="9">
        <v>1.1599999999999999</v>
      </c>
      <c r="F37" s="10"/>
      <c r="G37" s="8">
        <v>-0.59</v>
      </c>
      <c r="I37" s="26"/>
      <c r="J37" s="21"/>
      <c r="K37" s="30"/>
      <c r="L37" s="31"/>
    </row>
    <row r="38" spans="2:12" ht="15.6" x14ac:dyDescent="0.4">
      <c r="B38" s="4">
        <v>24</v>
      </c>
      <c r="C38" s="11"/>
      <c r="D38" s="12"/>
      <c r="E38" s="12">
        <v>1.04</v>
      </c>
      <c r="F38" s="13"/>
      <c r="G38" s="29">
        <v>-0.62</v>
      </c>
      <c r="I38" s="27"/>
      <c r="J38" s="22"/>
      <c r="K38" s="32"/>
      <c r="L38" s="33"/>
    </row>
    <row r="39" spans="2:12" ht="15.6" x14ac:dyDescent="0.4">
      <c r="B39" s="4">
        <v>26</v>
      </c>
      <c r="C39" s="11"/>
      <c r="D39" s="12"/>
      <c r="E39" s="12"/>
      <c r="F39" s="13"/>
      <c r="G39" s="29"/>
      <c r="I39" s="27"/>
      <c r="J39" s="22"/>
      <c r="K39" s="32"/>
      <c r="L39" s="33"/>
    </row>
    <row r="40" spans="2:12" ht="15.6" x14ac:dyDescent="0.4">
      <c r="B40" s="4">
        <v>28</v>
      </c>
      <c r="C40" s="11"/>
      <c r="D40" s="12"/>
      <c r="E40" s="12"/>
      <c r="F40" s="13"/>
      <c r="G40" s="29"/>
      <c r="I40" s="27"/>
      <c r="J40" s="22"/>
      <c r="K40" s="32"/>
      <c r="L40" s="33"/>
    </row>
    <row r="41" spans="2:12" ht="15.6" x14ac:dyDescent="0.4">
      <c r="B41" s="4">
        <v>30</v>
      </c>
      <c r="C41" s="11"/>
      <c r="D41" s="12"/>
      <c r="E41" s="12"/>
      <c r="F41" s="13"/>
      <c r="G41" s="29"/>
      <c r="I41" s="27"/>
      <c r="J41" s="22"/>
      <c r="K41" s="32"/>
      <c r="L41" s="33"/>
    </row>
    <row r="42" spans="2:12" ht="15.6" x14ac:dyDescent="0.4">
      <c r="B42" s="4">
        <v>32</v>
      </c>
      <c r="C42" s="11"/>
      <c r="D42" s="12"/>
      <c r="E42" s="12"/>
      <c r="F42" s="13"/>
      <c r="G42" s="11"/>
      <c r="I42" s="27"/>
      <c r="J42" s="22"/>
      <c r="K42" s="32"/>
      <c r="L42" s="33"/>
    </row>
    <row r="44" spans="2:12" ht="15.6" x14ac:dyDescent="0.4">
      <c r="B44" s="18" t="s">
        <v>11</v>
      </c>
      <c r="C44" s="18"/>
      <c r="E44" s="18" t="s">
        <v>16</v>
      </c>
      <c r="F44" s="18"/>
    </row>
    <row r="45" spans="2:12" ht="15.6" x14ac:dyDescent="0.4">
      <c r="B45" s="17">
        <v>1</v>
      </c>
      <c r="C45" s="17">
        <v>0</v>
      </c>
      <c r="E45" s="19">
        <f>-(0.275+0.25)/2</f>
        <v>-0.26250000000000001</v>
      </c>
      <c r="F45" s="19">
        <v>-0.85</v>
      </c>
      <c r="I45" s="20"/>
    </row>
    <row r="46" spans="2:12" ht="15.6" x14ac:dyDescent="0.4">
      <c r="B46" s="17">
        <v>0.95040000000000002</v>
      </c>
      <c r="C46" s="17">
        <v>1.0580000000000001E-2</v>
      </c>
      <c r="E46" s="19">
        <f>E45-(0.025*1.25)</f>
        <v>-0.29375000000000001</v>
      </c>
      <c r="F46" s="19">
        <v>-0.85</v>
      </c>
      <c r="I46" s="20"/>
    </row>
    <row r="47" spans="2:12" ht="15.6" x14ac:dyDescent="0.4">
      <c r="B47" s="17">
        <v>0.90080000000000005</v>
      </c>
      <c r="C47" s="17">
        <v>2.1749999999999999E-2</v>
      </c>
      <c r="E47" s="19">
        <f>E46-(0.025*1.25)*3.9</f>
        <v>-0.41562500000000002</v>
      </c>
      <c r="F47" s="19">
        <v>-0.85</v>
      </c>
      <c r="I47" s="20"/>
    </row>
    <row r="48" spans="2:12" ht="15.6" x14ac:dyDescent="0.4">
      <c r="B48" s="17">
        <v>0.85109000000000001</v>
      </c>
      <c r="C48" s="17">
        <v>3.32E-2</v>
      </c>
      <c r="E48" s="19">
        <f>E47-(0.025*1.25)</f>
        <v>-0.44687500000000002</v>
      </c>
      <c r="F48" s="19">
        <v>-0.85</v>
      </c>
      <c r="I48" s="20"/>
    </row>
    <row r="49" spans="2:9" ht="15.6" x14ac:dyDescent="0.4">
      <c r="B49" s="17">
        <v>0.80125999999999997</v>
      </c>
      <c r="C49" s="17">
        <v>4.4470000000000003E-2</v>
      </c>
      <c r="E49" s="19">
        <f>E48-(0.025*1.25)</f>
        <v>-0.47812500000000002</v>
      </c>
      <c r="F49" s="19">
        <v>-0.85</v>
      </c>
      <c r="I49" s="20"/>
    </row>
    <row r="50" spans="2:9" ht="15.6" x14ac:dyDescent="0.4">
      <c r="B50" s="17">
        <v>0.75131000000000003</v>
      </c>
      <c r="C50" s="17">
        <v>5.5320000000000001E-2</v>
      </c>
      <c r="E50" s="19">
        <v>0</v>
      </c>
      <c r="F50" s="19">
        <v>0</v>
      </c>
      <c r="I50" s="20"/>
    </row>
    <row r="51" spans="2:9" ht="15.6" x14ac:dyDescent="0.4">
      <c r="B51" s="17">
        <v>0.70123999999999997</v>
      </c>
      <c r="C51" s="17">
        <v>6.5420000000000006E-2</v>
      </c>
      <c r="E51" s="20"/>
      <c r="F51" s="20"/>
      <c r="I51" s="20"/>
    </row>
    <row r="52" spans="2:9" ht="15.6" x14ac:dyDescent="0.4">
      <c r="B52" s="17">
        <v>0.65105999999999997</v>
      </c>
      <c r="C52" s="17">
        <v>7.4620000000000006E-2</v>
      </c>
    </row>
    <row r="53" spans="2:9" ht="15.6" x14ac:dyDescent="0.4">
      <c r="B53" s="17">
        <v>0.60079000000000005</v>
      </c>
      <c r="C53" s="17">
        <v>8.2600000000000007E-2</v>
      </c>
    </row>
    <row r="54" spans="2:9" ht="15.6" x14ac:dyDescent="0.4">
      <c r="B54" s="17">
        <v>0.55042999999999997</v>
      </c>
      <c r="C54" s="17">
        <v>8.9099999999999999E-2</v>
      </c>
    </row>
    <row r="55" spans="2:9" ht="15.6" x14ac:dyDescent="0.4">
      <c r="B55" s="17">
        <v>0.5</v>
      </c>
      <c r="C55" s="17">
        <v>9.3710000000000002E-2</v>
      </c>
    </row>
    <row r="56" spans="2:9" ht="15.6" x14ac:dyDescent="0.4">
      <c r="B56" s="17">
        <v>0.44952999999999999</v>
      </c>
      <c r="C56" s="17">
        <v>9.6170000000000005E-2</v>
      </c>
    </row>
    <row r="57" spans="2:9" ht="15.6" x14ac:dyDescent="0.4">
      <c r="B57" s="17">
        <v>0.39903</v>
      </c>
      <c r="C57" s="17">
        <v>9.6390000000000003E-2</v>
      </c>
    </row>
    <row r="58" spans="2:9" ht="15.6" x14ac:dyDescent="0.4">
      <c r="B58" s="17">
        <v>0.34854000000000002</v>
      </c>
      <c r="C58" s="17">
        <v>9.4549999999999995E-2</v>
      </c>
    </row>
    <row r="59" spans="2:9" ht="15.6" x14ac:dyDescent="0.4">
      <c r="B59" s="17">
        <v>0.29807</v>
      </c>
      <c r="C59" s="17">
        <v>9.0929999999999997E-2</v>
      </c>
    </row>
    <row r="60" spans="2:9" ht="15.6" x14ac:dyDescent="0.4">
      <c r="B60" s="17">
        <v>0.24764</v>
      </c>
      <c r="C60" s="17">
        <v>8.5500000000000007E-2</v>
      </c>
    </row>
    <row r="61" spans="2:9" ht="15.6" x14ac:dyDescent="0.4">
      <c r="B61" s="17">
        <v>0.19725999999999999</v>
      </c>
      <c r="C61" s="17">
        <v>7.8090000000000007E-2</v>
      </c>
    </row>
    <row r="62" spans="2:9" ht="15.6" x14ac:dyDescent="0.4">
      <c r="B62" s="17">
        <v>0.14696999999999999</v>
      </c>
      <c r="C62" s="17">
        <v>6.8419999999999995E-2</v>
      </c>
    </row>
    <row r="63" spans="2:9" ht="15.6" x14ac:dyDescent="0.4">
      <c r="B63" s="17">
        <v>9.6820000000000003E-2</v>
      </c>
      <c r="C63" s="17">
        <v>5.5780000000000003E-2</v>
      </c>
    </row>
    <row r="64" spans="2:9" ht="15.6" x14ac:dyDescent="0.4">
      <c r="B64" s="17">
        <v>7.1840000000000001E-2</v>
      </c>
      <c r="C64" s="17">
        <v>4.7940000000000003E-2</v>
      </c>
    </row>
    <row r="65" spans="2:3" ht="15.6" x14ac:dyDescent="0.4">
      <c r="B65" s="17">
        <v>4.6969999999999998E-2</v>
      </c>
      <c r="C65" s="17">
        <v>3.8629999999999998E-2</v>
      </c>
    </row>
    <row r="66" spans="2:3" ht="15.6" x14ac:dyDescent="0.4">
      <c r="B66" s="17">
        <v>2.231E-2</v>
      </c>
      <c r="C66" s="17">
        <v>2.6800000000000001E-2</v>
      </c>
    </row>
    <row r="67" spans="2:3" ht="15.6" x14ac:dyDescent="0.4">
      <c r="B67" s="17">
        <v>1.0160000000000001E-2</v>
      </c>
      <c r="C67" s="17">
        <v>1.9E-2</v>
      </c>
    </row>
    <row r="68" spans="2:3" ht="15.6" x14ac:dyDescent="0.4">
      <c r="B68" s="17">
        <v>5.4200000000000003E-3</v>
      </c>
      <c r="C68" s="17">
        <v>1.4800000000000001E-2</v>
      </c>
    </row>
    <row r="69" spans="2:3" ht="15.6" x14ac:dyDescent="0.4">
      <c r="B69" s="17">
        <v>3.13E-3</v>
      </c>
      <c r="C69" s="17">
        <v>1.208E-2</v>
      </c>
    </row>
    <row r="70" spans="2:3" ht="15.6" x14ac:dyDescent="0.4">
      <c r="B70" s="17">
        <v>0</v>
      </c>
      <c r="C70" s="17">
        <v>0</v>
      </c>
    </row>
    <row r="71" spans="2:3" ht="15.6" x14ac:dyDescent="0.4">
      <c r="B71" s="17">
        <v>6.8700000000000002E-3</v>
      </c>
      <c r="C71" s="17">
        <v>-1.008E-2</v>
      </c>
    </row>
    <row r="72" spans="2:3" ht="15.6" x14ac:dyDescent="0.4">
      <c r="B72" s="17">
        <v>9.58E-3</v>
      </c>
      <c r="C72" s="17">
        <v>-1.2E-2</v>
      </c>
    </row>
    <row r="73" spans="2:3" ht="15.6" x14ac:dyDescent="0.4">
      <c r="B73" s="17">
        <v>1.4840000000000001E-2</v>
      </c>
      <c r="C73" s="17">
        <v>-1.472E-2</v>
      </c>
    </row>
    <row r="74" spans="2:3" ht="15.6" x14ac:dyDescent="0.4">
      <c r="B74" s="17">
        <v>2.7689999999999999E-2</v>
      </c>
      <c r="C74" s="17">
        <v>-1.9359999999999999E-2</v>
      </c>
    </row>
    <row r="75" spans="2:3" ht="15.6" x14ac:dyDescent="0.4">
      <c r="B75" s="17">
        <v>5.3030000000000001E-2</v>
      </c>
      <c r="C75" s="17">
        <v>-2.5989999999999999E-2</v>
      </c>
    </row>
    <row r="76" spans="2:3" ht="15.6" x14ac:dyDescent="0.4">
      <c r="B76" s="17">
        <v>7.8159999999999993E-2</v>
      </c>
      <c r="C76" s="17">
        <v>-3.0980000000000001E-2</v>
      </c>
    </row>
    <row r="77" spans="2:3" ht="15.6" x14ac:dyDescent="0.4">
      <c r="B77" s="17">
        <v>0.10317999999999999</v>
      </c>
      <c r="C77" s="17">
        <v>-3.5099999999999999E-2</v>
      </c>
    </row>
    <row r="78" spans="2:3" ht="15.6" x14ac:dyDescent="0.4">
      <c r="B78" s="17">
        <v>0.15303</v>
      </c>
      <c r="C78" s="17">
        <v>-4.1500000000000002E-2</v>
      </c>
    </row>
    <row r="79" spans="2:3" ht="15.6" x14ac:dyDescent="0.4">
      <c r="B79" s="17">
        <v>0.20274</v>
      </c>
      <c r="C79" s="17">
        <v>-4.6249999999999999E-2</v>
      </c>
    </row>
    <row r="80" spans="2:3" ht="15.6" x14ac:dyDescent="0.4">
      <c r="B80" s="17">
        <v>0.25235999999999997</v>
      </c>
      <c r="C80" s="17">
        <v>-4.9700000000000001E-2</v>
      </c>
    </row>
    <row r="81" spans="2:3" ht="15.6" x14ac:dyDescent="0.4">
      <c r="B81" s="17">
        <v>0.30192999999999998</v>
      </c>
      <c r="C81" s="17">
        <v>-5.2049999999999999E-2</v>
      </c>
    </row>
    <row r="82" spans="2:3" ht="15.6" x14ac:dyDescent="0.4">
      <c r="B82" s="17">
        <v>0.35145999999999999</v>
      </c>
      <c r="C82" s="17">
        <v>-5.3350000000000002E-2</v>
      </c>
    </row>
    <row r="83" spans="2:3" ht="15.6" x14ac:dyDescent="0.4">
      <c r="B83" s="17">
        <v>0.40096999999999999</v>
      </c>
      <c r="C83" s="17">
        <v>-5.355E-2</v>
      </c>
    </row>
    <row r="84" spans="2:3" ht="15.6" x14ac:dyDescent="0.4">
      <c r="B84" s="17">
        <v>0.45046999999999998</v>
      </c>
      <c r="C84" s="17">
        <v>-5.237E-2</v>
      </c>
    </row>
    <row r="85" spans="2:3" ht="15.6" x14ac:dyDescent="0.4">
      <c r="B85" s="17">
        <v>0.5</v>
      </c>
      <c r="C85" s="17">
        <v>-4.9619999999999997E-2</v>
      </c>
    </row>
    <row r="86" spans="2:3" ht="15.6" x14ac:dyDescent="0.4">
      <c r="B86" s="17">
        <v>0.54957</v>
      </c>
      <c r="C86" s="17">
        <v>-4.53E-2</v>
      </c>
    </row>
    <row r="87" spans="2:3" ht="15.6" x14ac:dyDescent="0.4">
      <c r="B87" s="17">
        <v>0.59921000000000002</v>
      </c>
      <c r="C87" s="17">
        <v>-3.9759999999999997E-2</v>
      </c>
    </row>
    <row r="88" spans="2:3" ht="15.6" x14ac:dyDescent="0.4">
      <c r="B88" s="17">
        <v>0.64893999999999996</v>
      </c>
      <c r="C88" s="17">
        <v>-3.3419999999999998E-2</v>
      </c>
    </row>
    <row r="89" spans="2:3" ht="15.6" x14ac:dyDescent="0.4">
      <c r="B89" s="17">
        <v>0.69876000000000005</v>
      </c>
      <c r="C89" s="17">
        <v>-2.6540000000000001E-2</v>
      </c>
    </row>
    <row r="90" spans="2:3" ht="15.6" x14ac:dyDescent="0.4">
      <c r="B90" s="17">
        <v>0.74868999999999997</v>
      </c>
      <c r="C90" s="17">
        <v>-1.9519999999999999E-2</v>
      </c>
    </row>
    <row r="91" spans="2:3" ht="15.6" x14ac:dyDescent="0.4">
      <c r="B91" s="17">
        <v>0.79874000000000001</v>
      </c>
      <c r="C91" s="17">
        <v>-1.2630000000000001E-2</v>
      </c>
    </row>
    <row r="92" spans="2:3" ht="15.6" x14ac:dyDescent="0.4">
      <c r="B92" s="17">
        <v>0.84891000000000005</v>
      </c>
      <c r="C92" s="17">
        <v>-6.28E-3</v>
      </c>
    </row>
    <row r="93" spans="2:3" ht="15.6" x14ac:dyDescent="0.4">
      <c r="B93" s="17">
        <v>0.8992</v>
      </c>
      <c r="C93" s="17">
        <v>-1.07E-3</v>
      </c>
    </row>
    <row r="94" spans="2:3" ht="15.6" x14ac:dyDescent="0.4">
      <c r="B94" s="17">
        <v>0.9496</v>
      </c>
      <c r="C94" s="17">
        <v>2.0600000000000002E-3</v>
      </c>
    </row>
    <row r="95" spans="2:3" ht="15.6" x14ac:dyDescent="0.4">
      <c r="B95" s="17">
        <v>1</v>
      </c>
      <c r="C95" s="17">
        <v>0</v>
      </c>
    </row>
  </sheetData>
  <mergeCells count="5">
    <mergeCell ref="I2:I3"/>
    <mergeCell ref="K2:L2"/>
    <mergeCell ref="C2:F2"/>
    <mergeCell ref="B44:C44"/>
    <mergeCell ref="E44:F44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Polare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2026-02-08T15:58:33Z</dcterms:created>
  <dcterms:modified xsi:type="dcterms:W3CDTF">2026-02-09T15:42:07Z</dcterms:modified>
</cp:coreProperties>
</file>
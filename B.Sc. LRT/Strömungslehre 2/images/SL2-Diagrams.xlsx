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lip\Documents\Git\Project-FoSa\B.Sc. LRT\Strömungslehre 2\images\"/>
    </mc:Choice>
  </mc:AlternateContent>
  <xr:revisionPtr revIDLastSave="0" documentId="13_ncr:1_{4D246A5B-C7CC-4EAF-9A6A-5A245F7B72B1}" xr6:coauthVersionLast="47" xr6:coauthVersionMax="47" xr10:uidLastSave="{00000000-0000-0000-0000-000000000000}"/>
  <bookViews>
    <workbookView xWindow="-108" yWindow="-108" windowWidth="46296" windowHeight="18696" activeTab="5" xr2:uid="{FA5394E7-ED4E-4AC0-A8BA-0A137B0856E0}"/>
  </bookViews>
  <sheets>
    <sheet name="Adiabate-Vorgänge" sheetId="4" r:id="rId1"/>
    <sheet name="xliv" sheetId="1" r:id="rId2"/>
    <sheet name="xlv" sheetId="3" r:id="rId3"/>
    <sheet name="xlvi" sheetId="5" r:id="rId4"/>
    <sheet name="xlvii" sheetId="7" r:id="rId5"/>
    <sheet name="xlviii" sheetId="8" r:id="rId6"/>
  </sheets>
  <definedNames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num" localSheetId="5" hidden="1">0</definedName>
    <definedName name="solver_opt" localSheetId="2" hidden="1">xlv!$D$5</definedName>
    <definedName name="solver_opt" localSheetId="3" hidden="1">xlvi!#REF!</definedName>
    <definedName name="solver_opt" localSheetId="4" hidden="1">xlvii!#REF!</definedName>
    <definedName name="solver_opt" localSheetId="5" hidden="1">xlviii!$C$5</definedName>
    <definedName name="solver_typ" localSheetId="2" hidden="1">1</definedName>
    <definedName name="solver_typ" localSheetId="3" hidden="1">1</definedName>
    <definedName name="solver_typ" localSheetId="4" hidden="1">1</definedName>
    <definedName name="solver_typ" localSheetId="5" hidden="1">1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3" l="1"/>
  <c r="C5" i="8"/>
  <c r="C6" i="8"/>
  <c r="C7" i="8"/>
  <c r="C8" i="8"/>
  <c r="C9" i="8"/>
  <c r="C10" i="8"/>
  <c r="C11" i="8"/>
  <c r="C12" i="8"/>
  <c r="C13" i="8"/>
  <c r="C14" i="8"/>
  <c r="C15" i="8"/>
  <c r="Q36" i="5"/>
  <c r="O36" i="5"/>
  <c r="O35" i="5"/>
  <c r="O34" i="5"/>
  <c r="O33" i="5"/>
  <c r="O32" i="5"/>
  <c r="K25" i="5"/>
  <c r="K26" i="5"/>
  <c r="K27" i="5"/>
  <c r="K28" i="5"/>
  <c r="M30" i="5"/>
  <c r="M31" i="5"/>
  <c r="M32" i="5"/>
  <c r="M33" i="5"/>
  <c r="M34" i="5"/>
  <c r="M35" i="5"/>
  <c r="M36" i="5"/>
  <c r="M29" i="5"/>
  <c r="K30" i="5"/>
  <c r="K31" i="5"/>
  <c r="K32" i="5"/>
  <c r="K33" i="5"/>
  <c r="K34" i="5"/>
  <c r="K35" i="5"/>
  <c r="K36" i="5"/>
  <c r="K2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19" i="5"/>
  <c r="C5" i="5"/>
  <c r="C11" i="5" s="1"/>
  <c r="C4" i="5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18" i="3"/>
  <c r="D18" i="3" s="1"/>
  <c r="C19" i="3"/>
  <c r="D19" i="3"/>
  <c r="C20" i="3"/>
  <c r="D20" i="3"/>
  <c r="E20" i="3"/>
  <c r="C21" i="3"/>
  <c r="D21" i="3" s="1"/>
  <c r="C22" i="3"/>
  <c r="E22" i="3" s="1"/>
  <c r="D22" i="3"/>
  <c r="C23" i="3"/>
  <c r="D23" i="3"/>
  <c r="E23" i="3"/>
  <c r="F23" i="3"/>
  <c r="C24" i="3"/>
  <c r="D24" i="3"/>
  <c r="E24" i="3"/>
  <c r="F24" i="3"/>
  <c r="G24" i="3"/>
  <c r="C25" i="3"/>
  <c r="D25" i="3"/>
  <c r="E25" i="3"/>
  <c r="F25" i="3"/>
  <c r="G25" i="3"/>
  <c r="C26" i="3"/>
  <c r="D26" i="3" s="1"/>
  <c r="E26" i="3"/>
  <c r="F26" i="3"/>
  <c r="G26" i="3"/>
  <c r="C27" i="3"/>
  <c r="D27" i="3"/>
  <c r="E27" i="3"/>
  <c r="F27" i="3"/>
  <c r="G27" i="3"/>
  <c r="H27" i="3"/>
  <c r="C28" i="3"/>
  <c r="D28" i="3"/>
  <c r="E28" i="3"/>
  <c r="F28" i="3"/>
  <c r="G28" i="3"/>
  <c r="H28" i="3"/>
  <c r="C29" i="3"/>
  <c r="D29" i="3"/>
  <c r="E29" i="3"/>
  <c r="F29" i="3"/>
  <c r="G29" i="3"/>
  <c r="H29" i="3"/>
  <c r="C30" i="3"/>
  <c r="H30" i="3" s="1"/>
  <c r="D30" i="3"/>
  <c r="E30" i="3"/>
  <c r="F30" i="3"/>
  <c r="G30" i="3"/>
  <c r="C31" i="3"/>
  <c r="E31" i="3" s="1"/>
  <c r="D31" i="3"/>
  <c r="C32" i="3"/>
  <c r="D32" i="3"/>
  <c r="E32" i="3"/>
  <c r="F32" i="3"/>
  <c r="G32" i="3"/>
  <c r="H32" i="3"/>
  <c r="I32" i="3"/>
  <c r="C33" i="3"/>
  <c r="I33" i="3" s="1"/>
  <c r="C34" i="3"/>
  <c r="D34" i="3"/>
  <c r="E34" i="3"/>
  <c r="F34" i="3"/>
  <c r="G34" i="3"/>
  <c r="H34" i="3"/>
  <c r="I34" i="3"/>
  <c r="J34" i="3"/>
  <c r="C35" i="3"/>
  <c r="D35" i="3"/>
  <c r="E35" i="3"/>
  <c r="C36" i="3"/>
  <c r="D36" i="3" s="1"/>
  <c r="E36" i="3"/>
  <c r="F36" i="3"/>
  <c r="G36" i="3"/>
  <c r="H36" i="3"/>
  <c r="I36" i="3"/>
  <c r="J36" i="3"/>
  <c r="C37" i="3"/>
  <c r="H37" i="3" s="1"/>
  <c r="D37" i="3"/>
  <c r="E37" i="3"/>
  <c r="F37" i="3"/>
  <c r="G37" i="3"/>
  <c r="C38" i="3"/>
  <c r="D38" i="3" s="1"/>
  <c r="J38" i="3"/>
  <c r="K38" i="3"/>
  <c r="C39" i="3"/>
  <c r="J39" i="3" s="1"/>
  <c r="D39" i="3"/>
  <c r="E39" i="3"/>
  <c r="F39" i="3"/>
  <c r="G39" i="3"/>
  <c r="H39" i="3"/>
  <c r="I39" i="3"/>
  <c r="C40" i="3"/>
  <c r="F40" i="3" s="1"/>
  <c r="D40" i="3"/>
  <c r="E40" i="3"/>
  <c r="J40" i="3"/>
  <c r="K40" i="3"/>
  <c r="C41" i="3"/>
  <c r="D41" i="3"/>
  <c r="E41" i="3"/>
  <c r="F41" i="3"/>
  <c r="G41" i="3"/>
  <c r="H41" i="3"/>
  <c r="I41" i="3"/>
  <c r="J41" i="3"/>
  <c r="K41" i="3"/>
  <c r="C42" i="3"/>
  <c r="D42" i="3"/>
  <c r="E42" i="3"/>
  <c r="F42" i="3"/>
  <c r="G42" i="3"/>
  <c r="H42" i="3"/>
  <c r="I42" i="3"/>
  <c r="J42" i="3"/>
  <c r="K42" i="3"/>
  <c r="C43" i="3"/>
  <c r="D43" i="3"/>
  <c r="E43" i="3"/>
  <c r="F43" i="3"/>
  <c r="G43" i="3"/>
  <c r="H43" i="3"/>
  <c r="I43" i="3"/>
  <c r="J43" i="3"/>
  <c r="K43" i="3"/>
  <c r="C44" i="3"/>
  <c r="J44" i="3" s="1"/>
  <c r="D44" i="3"/>
  <c r="C45" i="3"/>
  <c r="D45" i="3"/>
  <c r="E45" i="3"/>
  <c r="F45" i="3"/>
  <c r="G45" i="3"/>
  <c r="H45" i="3"/>
  <c r="I45" i="3"/>
  <c r="J45" i="3"/>
  <c r="K45" i="3"/>
  <c r="C46" i="3"/>
  <c r="G46" i="3" s="1"/>
  <c r="D46" i="3"/>
  <c r="E46" i="3"/>
  <c r="F46" i="3"/>
  <c r="C47" i="3"/>
  <c r="D47" i="3" s="1"/>
  <c r="F47" i="3"/>
  <c r="G47" i="3"/>
  <c r="H47" i="3"/>
  <c r="I47" i="3"/>
  <c r="J47" i="3"/>
  <c r="C48" i="3"/>
  <c r="I48" i="3" s="1"/>
  <c r="D48" i="3"/>
  <c r="E48" i="3"/>
  <c r="F48" i="3"/>
  <c r="G48" i="3"/>
  <c r="H48" i="3"/>
  <c r="C49" i="3"/>
  <c r="E49" i="3" s="1"/>
  <c r="D49" i="3"/>
  <c r="J49" i="3"/>
  <c r="C50" i="3"/>
  <c r="D50" i="3"/>
  <c r="E50" i="3"/>
  <c r="F50" i="3"/>
  <c r="G50" i="3"/>
  <c r="H50" i="3"/>
  <c r="I50" i="3"/>
  <c r="C51" i="3"/>
  <c r="G51" i="3" s="1"/>
  <c r="D51" i="3"/>
  <c r="E51" i="3"/>
  <c r="F51" i="3"/>
  <c r="C52" i="3"/>
  <c r="D52" i="3"/>
  <c r="E52" i="3"/>
  <c r="F52" i="3"/>
  <c r="G52" i="3"/>
  <c r="H52" i="3"/>
  <c r="C53" i="3"/>
  <c r="G53" i="3" s="1"/>
  <c r="D53" i="3"/>
  <c r="E53" i="3"/>
  <c r="F53" i="3"/>
  <c r="C54" i="3"/>
  <c r="D54" i="3"/>
  <c r="E54" i="3"/>
  <c r="F54" i="3"/>
  <c r="C55" i="3"/>
  <c r="D55" i="3" s="1"/>
  <c r="E55" i="3"/>
  <c r="F55" i="3"/>
  <c r="C56" i="3"/>
  <c r="D56" i="3"/>
  <c r="E56" i="3"/>
  <c r="C57" i="3"/>
  <c r="D57" i="3"/>
  <c r="E57" i="3"/>
  <c r="C58" i="3"/>
  <c r="D58" i="3"/>
  <c r="E58" i="3"/>
  <c r="C59" i="3"/>
  <c r="D59" i="3"/>
  <c r="C60" i="3"/>
  <c r="D60" i="3"/>
  <c r="C61" i="3"/>
  <c r="D61" i="3" s="1"/>
  <c r="D17" i="3"/>
  <c r="C6" i="3"/>
  <c r="C7" i="3"/>
  <c r="C8" i="3"/>
  <c r="C9" i="3"/>
  <c r="C10" i="3"/>
  <c r="C11" i="3"/>
  <c r="C12" i="3"/>
  <c r="C13" i="3"/>
  <c r="C14" i="3"/>
  <c r="C15" i="3"/>
  <c r="C16" i="3"/>
  <c r="C17" i="3"/>
  <c r="C5" i="3"/>
  <c r="E4" i="3"/>
  <c r="F4" i="3"/>
  <c r="G4" i="3"/>
  <c r="H4" i="3"/>
  <c r="I4" i="3"/>
  <c r="J4" i="3"/>
  <c r="K4" i="3"/>
  <c r="D4" i="3"/>
  <c r="AO50" i="1"/>
  <c r="AN50" i="1"/>
  <c r="AN49" i="1"/>
  <c r="AO49" i="1" s="1"/>
  <c r="AN48" i="1"/>
  <c r="AO48" i="1" s="1"/>
  <c r="AN47" i="1"/>
  <c r="AO47" i="1" s="1"/>
  <c r="AN46" i="1"/>
  <c r="AO46" i="1" s="1"/>
  <c r="AN45" i="1"/>
  <c r="AO45" i="1" s="1"/>
  <c r="AN44" i="1"/>
  <c r="AO44" i="1" s="1"/>
  <c r="AN43" i="1"/>
  <c r="AO43" i="1" s="1"/>
  <c r="AN42" i="1"/>
  <c r="AO42" i="1" s="1"/>
  <c r="AN41" i="1"/>
  <c r="AO41" i="1" s="1"/>
  <c r="AO40" i="1"/>
  <c r="AN40" i="1"/>
  <c r="AN39" i="1"/>
  <c r="AO39" i="1" s="1"/>
  <c r="AN38" i="1"/>
  <c r="AO38" i="1" s="1"/>
  <c r="AN37" i="1"/>
  <c r="AO37" i="1" s="1"/>
  <c r="AN36" i="1"/>
  <c r="AO36" i="1" s="1"/>
  <c r="AN35" i="1"/>
  <c r="AO35" i="1" s="1"/>
  <c r="AN34" i="1"/>
  <c r="AO34" i="1" s="1"/>
  <c r="AN33" i="1"/>
  <c r="AO33" i="1" s="1"/>
  <c r="AN32" i="1"/>
  <c r="AO32" i="1" s="1"/>
  <c r="AN31" i="1"/>
  <c r="AO31" i="1" s="1"/>
  <c r="AO30" i="1"/>
  <c r="AN30" i="1"/>
  <c r="AN29" i="1"/>
  <c r="AO29" i="1" s="1"/>
  <c r="AN28" i="1"/>
  <c r="AO28" i="1" s="1"/>
  <c r="AN27" i="1"/>
  <c r="AO27" i="1" s="1"/>
  <c r="AN26" i="1"/>
  <c r="AO26" i="1" s="1"/>
  <c r="AN25" i="1"/>
  <c r="AO25" i="1" s="1"/>
  <c r="AN24" i="1"/>
  <c r="AO24" i="1" s="1"/>
  <c r="AN23" i="1"/>
  <c r="AO23" i="1" s="1"/>
  <c r="AN22" i="1"/>
  <c r="AO22" i="1" s="1"/>
  <c r="AN21" i="1"/>
  <c r="AO21" i="1" s="1"/>
  <c r="AO20" i="1"/>
  <c r="AN20" i="1"/>
  <c r="AN19" i="1"/>
  <c r="AO19" i="1" s="1"/>
  <c r="AN18" i="1"/>
  <c r="AO18" i="1" s="1"/>
  <c r="AN17" i="1"/>
  <c r="AO17" i="1" s="1"/>
  <c r="AN16" i="1"/>
  <c r="AO16" i="1" s="1"/>
  <c r="AN15" i="1"/>
  <c r="AO15" i="1" s="1"/>
  <c r="AN14" i="1"/>
  <c r="AO14" i="1" s="1"/>
  <c r="AN13" i="1"/>
  <c r="AO13" i="1" s="1"/>
  <c r="AN12" i="1"/>
  <c r="AO12" i="1" s="1"/>
  <c r="AN11" i="1"/>
  <c r="AO11" i="1" s="1"/>
  <c r="AO10" i="1"/>
  <c r="AN10" i="1"/>
  <c r="AN9" i="1"/>
  <c r="AO9" i="1" s="1"/>
  <c r="AN8" i="1"/>
  <c r="AO8" i="1" s="1"/>
  <c r="AN7" i="1"/>
  <c r="AO7" i="1" s="1"/>
  <c r="AN6" i="1"/>
  <c r="AO6" i="1" s="1"/>
  <c r="AM50" i="1"/>
  <c r="AL50" i="1"/>
  <c r="AL49" i="1"/>
  <c r="AM49" i="1" s="1"/>
  <c r="AL48" i="1"/>
  <c r="AM48" i="1" s="1"/>
  <c r="AL47" i="1"/>
  <c r="AM47" i="1" s="1"/>
  <c r="AL46" i="1"/>
  <c r="AM46" i="1" s="1"/>
  <c r="AL45" i="1"/>
  <c r="AM45" i="1" s="1"/>
  <c r="AL44" i="1"/>
  <c r="AM44" i="1" s="1"/>
  <c r="AL43" i="1"/>
  <c r="AM43" i="1" s="1"/>
  <c r="AL42" i="1"/>
  <c r="AM42" i="1" s="1"/>
  <c r="AL41" i="1"/>
  <c r="AM41" i="1" s="1"/>
  <c r="AM40" i="1"/>
  <c r="AL40" i="1"/>
  <c r="AL39" i="1"/>
  <c r="AM39" i="1" s="1"/>
  <c r="AL38" i="1"/>
  <c r="AM38" i="1" s="1"/>
  <c r="AL37" i="1"/>
  <c r="AM37" i="1" s="1"/>
  <c r="AL36" i="1"/>
  <c r="AM36" i="1" s="1"/>
  <c r="AL35" i="1"/>
  <c r="AM35" i="1" s="1"/>
  <c r="AL34" i="1"/>
  <c r="AM34" i="1" s="1"/>
  <c r="AL33" i="1"/>
  <c r="AM33" i="1" s="1"/>
  <c r="AM32" i="1"/>
  <c r="AL32" i="1"/>
  <c r="AL31" i="1"/>
  <c r="AM31" i="1" s="1"/>
  <c r="AM30" i="1"/>
  <c r="AL30" i="1"/>
  <c r="AL29" i="1"/>
  <c r="AM29" i="1" s="1"/>
  <c r="AL28" i="1"/>
  <c r="AM28" i="1" s="1"/>
  <c r="AL27" i="1"/>
  <c r="AM27" i="1" s="1"/>
  <c r="AL26" i="1"/>
  <c r="AM26" i="1" s="1"/>
  <c r="AL25" i="1"/>
  <c r="AM25" i="1" s="1"/>
  <c r="AL24" i="1"/>
  <c r="AM24" i="1" s="1"/>
  <c r="AL23" i="1"/>
  <c r="AM23" i="1" s="1"/>
  <c r="AL22" i="1"/>
  <c r="AM22" i="1" s="1"/>
  <c r="AL21" i="1"/>
  <c r="AM21" i="1" s="1"/>
  <c r="AM20" i="1"/>
  <c r="AL20" i="1"/>
  <c r="AL19" i="1"/>
  <c r="AM19" i="1" s="1"/>
  <c r="AL18" i="1"/>
  <c r="AM18" i="1" s="1"/>
  <c r="AL17" i="1"/>
  <c r="AM17" i="1" s="1"/>
  <c r="AL16" i="1"/>
  <c r="AM16" i="1" s="1"/>
  <c r="AL15" i="1"/>
  <c r="AM15" i="1" s="1"/>
  <c r="AL14" i="1"/>
  <c r="AM14" i="1" s="1"/>
  <c r="AL13" i="1"/>
  <c r="AM13" i="1" s="1"/>
  <c r="AL12" i="1"/>
  <c r="AM12" i="1" s="1"/>
  <c r="AL11" i="1"/>
  <c r="AM11" i="1" s="1"/>
  <c r="AM10" i="1"/>
  <c r="AL10" i="1"/>
  <c r="AL9" i="1"/>
  <c r="AM9" i="1" s="1"/>
  <c r="AL8" i="1"/>
  <c r="AM8" i="1" s="1"/>
  <c r="AL7" i="1"/>
  <c r="AM7" i="1" s="1"/>
  <c r="AJ50" i="1"/>
  <c r="AK50" i="1" s="1"/>
  <c r="AJ49" i="1"/>
  <c r="AK49" i="1" s="1"/>
  <c r="AJ48" i="1"/>
  <c r="AK48" i="1" s="1"/>
  <c r="AK47" i="1"/>
  <c r="AJ47" i="1"/>
  <c r="AJ46" i="1"/>
  <c r="AK46" i="1" s="1"/>
  <c r="AJ45" i="1"/>
  <c r="AK45" i="1" s="1"/>
  <c r="AJ44" i="1"/>
  <c r="AK44" i="1" s="1"/>
  <c r="AJ43" i="1"/>
  <c r="AK43" i="1" s="1"/>
  <c r="AJ42" i="1"/>
  <c r="AK42" i="1" s="1"/>
  <c r="AJ41" i="1"/>
  <c r="AK41" i="1" s="1"/>
  <c r="AJ40" i="1"/>
  <c r="AK40" i="1" s="1"/>
  <c r="AJ39" i="1"/>
  <c r="AK39" i="1" s="1"/>
  <c r="AJ38" i="1"/>
  <c r="AK38" i="1" s="1"/>
  <c r="AK37" i="1"/>
  <c r="AJ37" i="1"/>
  <c r="AJ36" i="1"/>
  <c r="AK36" i="1" s="1"/>
  <c r="AJ35" i="1"/>
  <c r="AK35" i="1" s="1"/>
  <c r="AJ34" i="1"/>
  <c r="AK34" i="1" s="1"/>
  <c r="AJ33" i="1"/>
  <c r="AK33" i="1" s="1"/>
  <c r="AJ32" i="1"/>
  <c r="AK32" i="1" s="1"/>
  <c r="AJ31" i="1"/>
  <c r="AK31" i="1" s="1"/>
  <c r="AJ30" i="1"/>
  <c r="AK30" i="1" s="1"/>
  <c r="AJ29" i="1"/>
  <c r="AK29" i="1" s="1"/>
  <c r="AJ28" i="1"/>
  <c r="AK28" i="1" s="1"/>
  <c r="AK27" i="1"/>
  <c r="AJ27" i="1"/>
  <c r="AJ26" i="1"/>
  <c r="AK26" i="1" s="1"/>
  <c r="AJ25" i="1"/>
  <c r="AK25" i="1" s="1"/>
  <c r="AJ24" i="1"/>
  <c r="AK24" i="1" s="1"/>
  <c r="AJ23" i="1"/>
  <c r="AK23" i="1" s="1"/>
  <c r="AJ22" i="1"/>
  <c r="AK22" i="1" s="1"/>
  <c r="AJ21" i="1"/>
  <c r="AK21" i="1" s="1"/>
  <c r="AJ20" i="1"/>
  <c r="AK20" i="1" s="1"/>
  <c r="AJ19" i="1"/>
  <c r="AK19" i="1" s="1"/>
  <c r="AJ18" i="1"/>
  <c r="AK18" i="1" s="1"/>
  <c r="AK17" i="1"/>
  <c r="AJ17" i="1"/>
  <c r="AJ16" i="1"/>
  <c r="AK16" i="1" s="1"/>
  <c r="AJ15" i="1"/>
  <c r="AK15" i="1" s="1"/>
  <c r="AJ14" i="1"/>
  <c r="AK14" i="1" s="1"/>
  <c r="AJ13" i="1"/>
  <c r="AK13" i="1" s="1"/>
  <c r="AJ12" i="1"/>
  <c r="AK12" i="1" s="1"/>
  <c r="AJ11" i="1"/>
  <c r="AK11" i="1" s="1"/>
  <c r="AJ10" i="1"/>
  <c r="AK10" i="1" s="1"/>
  <c r="AH50" i="1"/>
  <c r="AI50" i="1" s="1"/>
  <c r="AH49" i="1"/>
  <c r="AI49" i="1" s="1"/>
  <c r="AH48" i="1"/>
  <c r="AI48" i="1" s="1"/>
  <c r="AH47" i="1"/>
  <c r="AI47" i="1" s="1"/>
  <c r="AH46" i="1"/>
  <c r="AI46" i="1" s="1"/>
  <c r="AH45" i="1"/>
  <c r="AI45" i="1" s="1"/>
  <c r="AH44" i="1"/>
  <c r="AI44" i="1" s="1"/>
  <c r="AH43" i="1"/>
  <c r="AI43" i="1" s="1"/>
  <c r="AH42" i="1"/>
  <c r="AI42" i="1" s="1"/>
  <c r="AH41" i="1"/>
  <c r="AI41" i="1" s="1"/>
  <c r="AH40" i="1"/>
  <c r="AI40" i="1" s="1"/>
  <c r="AH39" i="1"/>
  <c r="AI39" i="1" s="1"/>
  <c r="AH38" i="1"/>
  <c r="AI38" i="1" s="1"/>
  <c r="AH37" i="1"/>
  <c r="AI37" i="1" s="1"/>
  <c r="AH36" i="1"/>
  <c r="AI36" i="1" s="1"/>
  <c r="AH35" i="1"/>
  <c r="AI35" i="1" s="1"/>
  <c r="AH34" i="1"/>
  <c r="AI34" i="1" s="1"/>
  <c r="AH33" i="1"/>
  <c r="AI33" i="1" s="1"/>
  <c r="AH32" i="1"/>
  <c r="AI32" i="1" s="1"/>
  <c r="AH31" i="1"/>
  <c r="AI31" i="1" s="1"/>
  <c r="AH30" i="1"/>
  <c r="AI30" i="1" s="1"/>
  <c r="AH29" i="1"/>
  <c r="AI29" i="1" s="1"/>
  <c r="AH28" i="1"/>
  <c r="AI28" i="1" s="1"/>
  <c r="AH27" i="1"/>
  <c r="AI27" i="1" s="1"/>
  <c r="AH26" i="1"/>
  <c r="AI26" i="1" s="1"/>
  <c r="AH25" i="1"/>
  <c r="AI25" i="1" s="1"/>
  <c r="AH24" i="1"/>
  <c r="AI24" i="1" s="1"/>
  <c r="AH23" i="1"/>
  <c r="AI23" i="1" s="1"/>
  <c r="AH22" i="1"/>
  <c r="AI22" i="1" s="1"/>
  <c r="AH21" i="1"/>
  <c r="AI21" i="1" s="1"/>
  <c r="AH20" i="1"/>
  <c r="AI20" i="1" s="1"/>
  <c r="AH19" i="1"/>
  <c r="AI19" i="1" s="1"/>
  <c r="AH18" i="1"/>
  <c r="AI18" i="1" s="1"/>
  <c r="AH17" i="1"/>
  <c r="AI17" i="1" s="1"/>
  <c r="AH16" i="1"/>
  <c r="AI16" i="1" s="1"/>
  <c r="AH15" i="1"/>
  <c r="AI15" i="1" s="1"/>
  <c r="AH14" i="1"/>
  <c r="AI14" i="1" s="1"/>
  <c r="AH13" i="1"/>
  <c r="AI13" i="1" s="1"/>
  <c r="AH12" i="1"/>
  <c r="AI12" i="1" s="1"/>
  <c r="AF50" i="1"/>
  <c r="AG50" i="1" s="1"/>
  <c r="AG49" i="1"/>
  <c r="AF49" i="1"/>
  <c r="AF48" i="1"/>
  <c r="AG48" i="1" s="1"/>
  <c r="AF47" i="1"/>
  <c r="AG47" i="1" s="1"/>
  <c r="AF46" i="1"/>
  <c r="AG46" i="1" s="1"/>
  <c r="AF45" i="1"/>
  <c r="AG45" i="1" s="1"/>
  <c r="AF44" i="1"/>
  <c r="AG44" i="1" s="1"/>
  <c r="AF43" i="1"/>
  <c r="AG43" i="1" s="1"/>
  <c r="AF42" i="1"/>
  <c r="AG42" i="1" s="1"/>
  <c r="AF41" i="1"/>
  <c r="AG41" i="1" s="1"/>
  <c r="AF40" i="1"/>
  <c r="AG40" i="1" s="1"/>
  <c r="AG39" i="1"/>
  <c r="AF39" i="1"/>
  <c r="AF38" i="1"/>
  <c r="AG38" i="1" s="1"/>
  <c r="AF37" i="1"/>
  <c r="AG37" i="1" s="1"/>
  <c r="AF36" i="1"/>
  <c r="AG36" i="1" s="1"/>
  <c r="AF35" i="1"/>
  <c r="AG35" i="1" s="1"/>
  <c r="AF34" i="1"/>
  <c r="AG34" i="1" s="1"/>
  <c r="AF33" i="1"/>
  <c r="AG33" i="1" s="1"/>
  <c r="AF32" i="1"/>
  <c r="AG32" i="1" s="1"/>
  <c r="AF31" i="1"/>
  <c r="AG31" i="1" s="1"/>
  <c r="AF30" i="1"/>
  <c r="AG30" i="1" s="1"/>
  <c r="AG29" i="1"/>
  <c r="AF29" i="1"/>
  <c r="AF28" i="1"/>
  <c r="AG28" i="1" s="1"/>
  <c r="AF27" i="1"/>
  <c r="AG27" i="1" s="1"/>
  <c r="AF26" i="1"/>
  <c r="AG26" i="1" s="1"/>
  <c r="AF25" i="1"/>
  <c r="AG25" i="1" s="1"/>
  <c r="AF24" i="1"/>
  <c r="AG24" i="1" s="1"/>
  <c r="AF23" i="1"/>
  <c r="AG23" i="1" s="1"/>
  <c r="AF22" i="1"/>
  <c r="AG22" i="1" s="1"/>
  <c r="AF21" i="1"/>
  <c r="AG21" i="1" s="1"/>
  <c r="AF20" i="1"/>
  <c r="AG20" i="1" s="1"/>
  <c r="AG19" i="1"/>
  <c r="AF19" i="1"/>
  <c r="AF18" i="1"/>
  <c r="AG18" i="1" s="1"/>
  <c r="AF17" i="1"/>
  <c r="AG17" i="1" s="1"/>
  <c r="AF16" i="1"/>
  <c r="AG16" i="1" s="1"/>
  <c r="AF15" i="1"/>
  <c r="AG15" i="1" s="1"/>
  <c r="AF14" i="1"/>
  <c r="AG14" i="1" s="1"/>
  <c r="AD50" i="1"/>
  <c r="AE50" i="1" s="1"/>
  <c r="AD49" i="1"/>
  <c r="AE49" i="1" s="1"/>
  <c r="AD48" i="1"/>
  <c r="AE48" i="1" s="1"/>
  <c r="AD47" i="1"/>
  <c r="AE47" i="1" s="1"/>
  <c r="AD46" i="1"/>
  <c r="AE46" i="1" s="1"/>
  <c r="AD45" i="1"/>
  <c r="AE45" i="1" s="1"/>
  <c r="AD44" i="1"/>
  <c r="AE44" i="1" s="1"/>
  <c r="AD43" i="1"/>
  <c r="AE43" i="1" s="1"/>
  <c r="AD42" i="1"/>
  <c r="AE42" i="1" s="1"/>
  <c r="AD41" i="1"/>
  <c r="AE41" i="1" s="1"/>
  <c r="AD40" i="1"/>
  <c r="AE40" i="1" s="1"/>
  <c r="AD39" i="1"/>
  <c r="AE39" i="1" s="1"/>
  <c r="AD38" i="1"/>
  <c r="AE38" i="1" s="1"/>
  <c r="AD37" i="1"/>
  <c r="AE37" i="1" s="1"/>
  <c r="AD36" i="1"/>
  <c r="AE36" i="1" s="1"/>
  <c r="AD35" i="1"/>
  <c r="AE35" i="1" s="1"/>
  <c r="AD34" i="1"/>
  <c r="AE34" i="1" s="1"/>
  <c r="AD33" i="1"/>
  <c r="AE33" i="1" s="1"/>
  <c r="AD32" i="1"/>
  <c r="AE32" i="1" s="1"/>
  <c r="AD31" i="1"/>
  <c r="AE31" i="1" s="1"/>
  <c r="AD30" i="1"/>
  <c r="AE30" i="1" s="1"/>
  <c r="AD29" i="1"/>
  <c r="AE29" i="1" s="1"/>
  <c r="AD28" i="1"/>
  <c r="AE28" i="1" s="1"/>
  <c r="AD27" i="1"/>
  <c r="AE27" i="1" s="1"/>
  <c r="AD26" i="1"/>
  <c r="AE26" i="1" s="1"/>
  <c r="AD25" i="1"/>
  <c r="AE25" i="1" s="1"/>
  <c r="AD24" i="1"/>
  <c r="AE24" i="1" s="1"/>
  <c r="AD23" i="1"/>
  <c r="AE23" i="1" s="1"/>
  <c r="AE22" i="1"/>
  <c r="AD22" i="1"/>
  <c r="AD21" i="1"/>
  <c r="AE21" i="1" s="1"/>
  <c r="AD20" i="1"/>
  <c r="AE20" i="1" s="1"/>
  <c r="AD19" i="1"/>
  <c r="AE19" i="1" s="1"/>
  <c r="AD18" i="1"/>
  <c r="AE18" i="1" s="1"/>
  <c r="AD17" i="1"/>
  <c r="AE17" i="1" s="1"/>
  <c r="AB50" i="1"/>
  <c r="AC50" i="1" s="1"/>
  <c r="AB49" i="1"/>
  <c r="AC49" i="1" s="1"/>
  <c r="AB48" i="1"/>
  <c r="AC48" i="1" s="1"/>
  <c r="AB47" i="1"/>
  <c r="AC47" i="1" s="1"/>
  <c r="AB46" i="1"/>
  <c r="AC46" i="1" s="1"/>
  <c r="AB45" i="1"/>
  <c r="AC45" i="1" s="1"/>
  <c r="AB44" i="1"/>
  <c r="AC44" i="1" s="1"/>
  <c r="AB43" i="1"/>
  <c r="AC43" i="1" s="1"/>
  <c r="AB42" i="1"/>
  <c r="AC42" i="1" s="1"/>
  <c r="AB41" i="1"/>
  <c r="AC41" i="1" s="1"/>
  <c r="AB40" i="1"/>
  <c r="AC40" i="1" s="1"/>
  <c r="AB39" i="1"/>
  <c r="AC39" i="1" s="1"/>
  <c r="AB38" i="1"/>
  <c r="AC38" i="1" s="1"/>
  <c r="AB37" i="1"/>
  <c r="AC37" i="1" s="1"/>
  <c r="AB36" i="1"/>
  <c r="AC36" i="1" s="1"/>
  <c r="AB35" i="1"/>
  <c r="AC35" i="1" s="1"/>
  <c r="AB34" i="1"/>
  <c r="AC34" i="1" s="1"/>
  <c r="AB33" i="1"/>
  <c r="AC33" i="1" s="1"/>
  <c r="AB32" i="1"/>
  <c r="AC32" i="1" s="1"/>
  <c r="AB31" i="1"/>
  <c r="AC31" i="1" s="1"/>
  <c r="AB30" i="1"/>
  <c r="AC30" i="1" s="1"/>
  <c r="AB29" i="1"/>
  <c r="AC29" i="1" s="1"/>
  <c r="AB28" i="1"/>
  <c r="AC28" i="1" s="1"/>
  <c r="AB27" i="1"/>
  <c r="AC27" i="1" s="1"/>
  <c r="AB26" i="1"/>
  <c r="AC26" i="1" s="1"/>
  <c r="AB25" i="1"/>
  <c r="AC25" i="1" s="1"/>
  <c r="AB24" i="1"/>
  <c r="AC24" i="1" s="1"/>
  <c r="AB23" i="1"/>
  <c r="AC23" i="1" s="1"/>
  <c r="AB22" i="1"/>
  <c r="AC22" i="1" s="1"/>
  <c r="AB21" i="1"/>
  <c r="AC21" i="1" s="1"/>
  <c r="AB20" i="1"/>
  <c r="AC20" i="1" s="1"/>
  <c r="AB19" i="1"/>
  <c r="AC19" i="1" s="1"/>
  <c r="AB18" i="1"/>
  <c r="AC18" i="1" s="1"/>
  <c r="AB17" i="1"/>
  <c r="AC17" i="1" s="1"/>
  <c r="Z50" i="1"/>
  <c r="AA50" i="1" s="1"/>
  <c r="Z49" i="1"/>
  <c r="AA49" i="1" s="1"/>
  <c r="Z48" i="1"/>
  <c r="AA48" i="1" s="1"/>
  <c r="Z47" i="1"/>
  <c r="AA47" i="1" s="1"/>
  <c r="Z46" i="1"/>
  <c r="AA46" i="1" s="1"/>
  <c r="Z45" i="1"/>
  <c r="AA45" i="1" s="1"/>
  <c r="Z44" i="1"/>
  <c r="AA44" i="1" s="1"/>
  <c r="Z43" i="1"/>
  <c r="AA43" i="1" s="1"/>
  <c r="Z42" i="1"/>
  <c r="AA42" i="1" s="1"/>
  <c r="Z41" i="1"/>
  <c r="AA41" i="1" s="1"/>
  <c r="Z40" i="1"/>
  <c r="AA40" i="1" s="1"/>
  <c r="Z39" i="1"/>
  <c r="AA39" i="1" s="1"/>
  <c r="Z38" i="1"/>
  <c r="AA38" i="1" s="1"/>
  <c r="Z37" i="1"/>
  <c r="AA37" i="1" s="1"/>
  <c r="Z36" i="1"/>
  <c r="AA36" i="1" s="1"/>
  <c r="Z35" i="1"/>
  <c r="AA35" i="1" s="1"/>
  <c r="Z34" i="1"/>
  <c r="AA34" i="1" s="1"/>
  <c r="Z33" i="1"/>
  <c r="AA33" i="1" s="1"/>
  <c r="Z32" i="1"/>
  <c r="AA32" i="1" s="1"/>
  <c r="Z31" i="1"/>
  <c r="AA31" i="1" s="1"/>
  <c r="Z30" i="1"/>
  <c r="AA30" i="1" s="1"/>
  <c r="Z29" i="1"/>
  <c r="AA29" i="1" s="1"/>
  <c r="Z28" i="1"/>
  <c r="AA28" i="1" s="1"/>
  <c r="Z27" i="1"/>
  <c r="AA27" i="1" s="1"/>
  <c r="Z26" i="1"/>
  <c r="AA26" i="1" s="1"/>
  <c r="Z25" i="1"/>
  <c r="AA25" i="1" s="1"/>
  <c r="Z24" i="1"/>
  <c r="AA24" i="1" s="1"/>
  <c r="Z23" i="1"/>
  <c r="AA23" i="1" s="1"/>
  <c r="Z22" i="1"/>
  <c r="AA22" i="1" s="1"/>
  <c r="Z21" i="1"/>
  <c r="AA21" i="1" s="1"/>
  <c r="Z20" i="1"/>
  <c r="AA20" i="1" s="1"/>
  <c r="Z19" i="1"/>
  <c r="AA19" i="1" s="1"/>
  <c r="Z18" i="1"/>
  <c r="AA18" i="1" s="1"/>
  <c r="X50" i="1"/>
  <c r="Y50" i="1" s="1"/>
  <c r="Y49" i="1"/>
  <c r="X49" i="1"/>
  <c r="X48" i="1"/>
  <c r="Y48" i="1" s="1"/>
  <c r="X47" i="1"/>
  <c r="Y47" i="1" s="1"/>
  <c r="X46" i="1"/>
  <c r="Y46" i="1" s="1"/>
  <c r="X45" i="1"/>
  <c r="Y45" i="1" s="1"/>
  <c r="X44" i="1"/>
  <c r="Y44" i="1" s="1"/>
  <c r="X43" i="1"/>
  <c r="Y43" i="1" s="1"/>
  <c r="X42" i="1"/>
  <c r="Y42" i="1" s="1"/>
  <c r="X41" i="1"/>
  <c r="Y41" i="1" s="1"/>
  <c r="X40" i="1"/>
  <c r="Y40" i="1" s="1"/>
  <c r="Y39" i="1"/>
  <c r="X39" i="1"/>
  <c r="X38" i="1"/>
  <c r="Y38" i="1" s="1"/>
  <c r="X37" i="1"/>
  <c r="Y37" i="1" s="1"/>
  <c r="X36" i="1"/>
  <c r="Y36" i="1" s="1"/>
  <c r="X35" i="1"/>
  <c r="Y35" i="1" s="1"/>
  <c r="X34" i="1"/>
  <c r="Y34" i="1" s="1"/>
  <c r="X33" i="1"/>
  <c r="Y33" i="1" s="1"/>
  <c r="X32" i="1"/>
  <c r="Y32" i="1" s="1"/>
  <c r="X31" i="1"/>
  <c r="Y31" i="1" s="1"/>
  <c r="X30" i="1"/>
  <c r="Y30" i="1" s="1"/>
  <c r="Y29" i="1"/>
  <c r="X29" i="1"/>
  <c r="X28" i="1"/>
  <c r="Y28" i="1" s="1"/>
  <c r="X27" i="1"/>
  <c r="Y27" i="1" s="1"/>
  <c r="X26" i="1"/>
  <c r="Y26" i="1" s="1"/>
  <c r="X25" i="1"/>
  <c r="Y25" i="1" s="1"/>
  <c r="X24" i="1"/>
  <c r="Y24" i="1" s="1"/>
  <c r="X23" i="1"/>
  <c r="Y23" i="1" s="1"/>
  <c r="X22" i="1"/>
  <c r="Y22" i="1" s="1"/>
  <c r="X21" i="1"/>
  <c r="Y21" i="1" s="1"/>
  <c r="X20" i="1"/>
  <c r="Y20" i="1" s="1"/>
  <c r="Y19" i="1"/>
  <c r="X19" i="1"/>
  <c r="V50" i="1"/>
  <c r="W50" i="1" s="1"/>
  <c r="V49" i="1"/>
  <c r="W49" i="1" s="1"/>
  <c r="V48" i="1"/>
  <c r="W48" i="1" s="1"/>
  <c r="V47" i="1"/>
  <c r="W47" i="1" s="1"/>
  <c r="V46" i="1"/>
  <c r="W46" i="1" s="1"/>
  <c r="V45" i="1"/>
  <c r="W45" i="1" s="1"/>
  <c r="V44" i="1"/>
  <c r="W44" i="1" s="1"/>
  <c r="V43" i="1"/>
  <c r="W43" i="1" s="1"/>
  <c r="V42" i="1"/>
  <c r="W42" i="1" s="1"/>
  <c r="V41" i="1"/>
  <c r="W41" i="1" s="1"/>
  <c r="V40" i="1"/>
  <c r="W40" i="1" s="1"/>
  <c r="V39" i="1"/>
  <c r="W39" i="1" s="1"/>
  <c r="V38" i="1"/>
  <c r="W38" i="1" s="1"/>
  <c r="V37" i="1"/>
  <c r="W37" i="1" s="1"/>
  <c r="V36" i="1"/>
  <c r="W36" i="1" s="1"/>
  <c r="V35" i="1"/>
  <c r="W35" i="1" s="1"/>
  <c r="V34" i="1"/>
  <c r="W34" i="1" s="1"/>
  <c r="V33" i="1"/>
  <c r="W33" i="1" s="1"/>
  <c r="V32" i="1"/>
  <c r="W32" i="1" s="1"/>
  <c r="V31" i="1"/>
  <c r="W31" i="1" s="1"/>
  <c r="V30" i="1"/>
  <c r="W30" i="1" s="1"/>
  <c r="V29" i="1"/>
  <c r="W29" i="1" s="1"/>
  <c r="V28" i="1"/>
  <c r="W28" i="1" s="1"/>
  <c r="V27" i="1"/>
  <c r="W27" i="1" s="1"/>
  <c r="V26" i="1"/>
  <c r="W26" i="1" s="1"/>
  <c r="V25" i="1"/>
  <c r="W25" i="1" s="1"/>
  <c r="V24" i="1"/>
  <c r="W24" i="1" s="1"/>
  <c r="V23" i="1"/>
  <c r="W23" i="1" s="1"/>
  <c r="V22" i="1"/>
  <c r="W22" i="1" s="1"/>
  <c r="V21" i="1"/>
  <c r="W21" i="1" s="1"/>
  <c r="V20" i="1"/>
  <c r="W20" i="1" s="1"/>
  <c r="V19" i="1"/>
  <c r="W19" i="1" s="1"/>
  <c r="T50" i="1"/>
  <c r="U50" i="1" s="1"/>
  <c r="T49" i="1"/>
  <c r="U49" i="1" s="1"/>
  <c r="T48" i="1"/>
  <c r="U48" i="1" s="1"/>
  <c r="T47" i="1"/>
  <c r="U47" i="1" s="1"/>
  <c r="T46" i="1"/>
  <c r="U46" i="1" s="1"/>
  <c r="T45" i="1"/>
  <c r="U45" i="1" s="1"/>
  <c r="T44" i="1"/>
  <c r="U44" i="1" s="1"/>
  <c r="T43" i="1"/>
  <c r="U43" i="1" s="1"/>
  <c r="T42" i="1"/>
  <c r="U42" i="1" s="1"/>
  <c r="T41" i="1"/>
  <c r="U41" i="1" s="1"/>
  <c r="T40" i="1"/>
  <c r="U40" i="1" s="1"/>
  <c r="T39" i="1"/>
  <c r="U39" i="1" s="1"/>
  <c r="T38" i="1"/>
  <c r="U38" i="1" s="1"/>
  <c r="T37" i="1"/>
  <c r="U37" i="1" s="1"/>
  <c r="T36" i="1"/>
  <c r="U36" i="1" s="1"/>
  <c r="T35" i="1"/>
  <c r="U35" i="1" s="1"/>
  <c r="T34" i="1"/>
  <c r="U34" i="1" s="1"/>
  <c r="T33" i="1"/>
  <c r="U33" i="1" s="1"/>
  <c r="T32" i="1"/>
  <c r="U32" i="1" s="1"/>
  <c r="T31" i="1"/>
  <c r="U31" i="1" s="1"/>
  <c r="T30" i="1"/>
  <c r="U30" i="1" s="1"/>
  <c r="T29" i="1"/>
  <c r="U29" i="1" s="1"/>
  <c r="T28" i="1"/>
  <c r="U28" i="1" s="1"/>
  <c r="T27" i="1"/>
  <c r="U27" i="1" s="1"/>
  <c r="T26" i="1"/>
  <c r="U26" i="1" s="1"/>
  <c r="T25" i="1"/>
  <c r="U25" i="1" s="1"/>
  <c r="T24" i="1"/>
  <c r="U24" i="1" s="1"/>
  <c r="T23" i="1"/>
  <c r="U23" i="1" s="1"/>
  <c r="T22" i="1"/>
  <c r="U22" i="1" s="1"/>
  <c r="T21" i="1"/>
  <c r="U21" i="1" s="1"/>
  <c r="T20" i="1"/>
  <c r="U20" i="1" s="1"/>
  <c r="R50" i="1"/>
  <c r="S50" i="1" s="1"/>
  <c r="R49" i="1"/>
  <c r="S49" i="1" s="1"/>
  <c r="R48" i="1"/>
  <c r="S48" i="1" s="1"/>
  <c r="R47" i="1"/>
  <c r="S47" i="1" s="1"/>
  <c r="R46" i="1"/>
  <c r="S46" i="1" s="1"/>
  <c r="R45" i="1"/>
  <c r="S45" i="1" s="1"/>
  <c r="R44" i="1"/>
  <c r="S44" i="1" s="1"/>
  <c r="R43" i="1"/>
  <c r="S43" i="1" s="1"/>
  <c r="R42" i="1"/>
  <c r="S42" i="1" s="1"/>
  <c r="R41" i="1"/>
  <c r="S41" i="1" s="1"/>
  <c r="R40" i="1"/>
  <c r="S40" i="1" s="1"/>
  <c r="R39" i="1"/>
  <c r="S39" i="1" s="1"/>
  <c r="R38" i="1"/>
  <c r="S38" i="1" s="1"/>
  <c r="R37" i="1"/>
  <c r="S37" i="1" s="1"/>
  <c r="R36" i="1"/>
  <c r="S36" i="1" s="1"/>
  <c r="R35" i="1"/>
  <c r="S35" i="1" s="1"/>
  <c r="R34" i="1"/>
  <c r="S34" i="1" s="1"/>
  <c r="R33" i="1"/>
  <c r="S33" i="1" s="1"/>
  <c r="R32" i="1"/>
  <c r="S32" i="1" s="1"/>
  <c r="R31" i="1"/>
  <c r="S31" i="1" s="1"/>
  <c r="R30" i="1"/>
  <c r="S30" i="1" s="1"/>
  <c r="R29" i="1"/>
  <c r="S29" i="1" s="1"/>
  <c r="R28" i="1"/>
  <c r="S28" i="1" s="1"/>
  <c r="R27" i="1"/>
  <c r="S27" i="1" s="1"/>
  <c r="R26" i="1"/>
  <c r="S26" i="1" s="1"/>
  <c r="R25" i="1"/>
  <c r="S25" i="1" s="1"/>
  <c r="R24" i="1"/>
  <c r="S24" i="1" s="1"/>
  <c r="R23" i="1"/>
  <c r="S23" i="1" s="1"/>
  <c r="R22" i="1"/>
  <c r="S22" i="1" s="1"/>
  <c r="R21" i="1"/>
  <c r="S21" i="1" s="1"/>
  <c r="P50" i="1"/>
  <c r="Q50" i="1" s="1"/>
  <c r="Q49" i="1"/>
  <c r="P49" i="1"/>
  <c r="P48" i="1"/>
  <c r="Q48" i="1" s="1"/>
  <c r="P47" i="1"/>
  <c r="Q47" i="1" s="1"/>
  <c r="P46" i="1"/>
  <c r="Q46" i="1" s="1"/>
  <c r="P45" i="1"/>
  <c r="Q45" i="1" s="1"/>
  <c r="P44" i="1"/>
  <c r="Q44" i="1" s="1"/>
  <c r="P43" i="1"/>
  <c r="Q43" i="1" s="1"/>
  <c r="P42" i="1"/>
  <c r="Q42" i="1" s="1"/>
  <c r="P41" i="1"/>
  <c r="Q41" i="1" s="1"/>
  <c r="P40" i="1"/>
  <c r="Q40" i="1" s="1"/>
  <c r="Q39" i="1"/>
  <c r="P39" i="1"/>
  <c r="P38" i="1"/>
  <c r="Q38" i="1" s="1"/>
  <c r="P37" i="1"/>
  <c r="Q37" i="1" s="1"/>
  <c r="P36" i="1"/>
  <c r="Q36" i="1" s="1"/>
  <c r="P35" i="1"/>
  <c r="Q35" i="1" s="1"/>
  <c r="P34" i="1"/>
  <c r="Q34" i="1" s="1"/>
  <c r="P33" i="1"/>
  <c r="Q33" i="1" s="1"/>
  <c r="P32" i="1"/>
  <c r="Q32" i="1" s="1"/>
  <c r="P31" i="1"/>
  <c r="Q31" i="1" s="1"/>
  <c r="P30" i="1"/>
  <c r="Q30" i="1" s="1"/>
  <c r="Q29" i="1"/>
  <c r="P29" i="1"/>
  <c r="P28" i="1"/>
  <c r="Q28" i="1" s="1"/>
  <c r="P27" i="1"/>
  <c r="Q27" i="1" s="1"/>
  <c r="P26" i="1"/>
  <c r="Q26" i="1" s="1"/>
  <c r="P25" i="1"/>
  <c r="Q25" i="1" s="1"/>
  <c r="P24" i="1"/>
  <c r="Q24" i="1" s="1"/>
  <c r="P23" i="1"/>
  <c r="Q23" i="1" s="1"/>
  <c r="C31" i="1"/>
  <c r="H31" i="1"/>
  <c r="I31" i="1" s="1"/>
  <c r="J31" i="1"/>
  <c r="K31" i="1" s="1"/>
  <c r="L31" i="1"/>
  <c r="M31" i="1"/>
  <c r="N31" i="1"/>
  <c r="O31" i="1" s="1"/>
  <c r="C32" i="1"/>
  <c r="J32" i="1" s="1"/>
  <c r="K32" i="1" s="1"/>
  <c r="H32" i="1"/>
  <c r="I32" i="1"/>
  <c r="C33" i="1"/>
  <c r="F33" i="1" s="1"/>
  <c r="G33" i="1" s="1"/>
  <c r="J33" i="1"/>
  <c r="K33" i="1" s="1"/>
  <c r="L33" i="1"/>
  <c r="M33" i="1" s="1"/>
  <c r="N33" i="1"/>
  <c r="O33" i="1" s="1"/>
  <c r="C34" i="1"/>
  <c r="C35" i="1"/>
  <c r="L35" i="1" s="1"/>
  <c r="M35" i="1" s="1"/>
  <c r="F35" i="1"/>
  <c r="G35" i="1" s="1"/>
  <c r="H35" i="1"/>
  <c r="I35" i="1"/>
  <c r="J35" i="1"/>
  <c r="K35" i="1" s="1"/>
  <c r="C36" i="1"/>
  <c r="F36" i="1" s="1"/>
  <c r="G36" i="1" s="1"/>
  <c r="J36" i="1"/>
  <c r="K36" i="1"/>
  <c r="L36" i="1"/>
  <c r="M36" i="1" s="1"/>
  <c r="N36" i="1"/>
  <c r="O36" i="1" s="1"/>
  <c r="C37" i="1"/>
  <c r="F37" i="1" s="1"/>
  <c r="G37" i="1" s="1"/>
  <c r="D37" i="1"/>
  <c r="E37" i="1" s="1"/>
  <c r="C38" i="1"/>
  <c r="L38" i="1" s="1"/>
  <c r="M38" i="1" s="1"/>
  <c r="D38" i="1"/>
  <c r="E38" i="1"/>
  <c r="F38" i="1"/>
  <c r="G38" i="1" s="1"/>
  <c r="H38" i="1"/>
  <c r="I38" i="1"/>
  <c r="J38" i="1"/>
  <c r="K38" i="1"/>
  <c r="C39" i="1"/>
  <c r="H39" i="1" s="1"/>
  <c r="I39" i="1" s="1"/>
  <c r="D39" i="1"/>
  <c r="E39" i="1"/>
  <c r="F39" i="1"/>
  <c r="G39" i="1" s="1"/>
  <c r="J39" i="1"/>
  <c r="K39" i="1"/>
  <c r="L39" i="1"/>
  <c r="M39" i="1" s="1"/>
  <c r="N39" i="1"/>
  <c r="O39" i="1"/>
  <c r="C40" i="1"/>
  <c r="F40" i="1" s="1"/>
  <c r="G40" i="1" s="1"/>
  <c r="D40" i="1"/>
  <c r="E40" i="1"/>
  <c r="C41" i="1"/>
  <c r="N41" i="1" s="1"/>
  <c r="O41" i="1" s="1"/>
  <c r="D41" i="1"/>
  <c r="E41" i="1"/>
  <c r="F41" i="1"/>
  <c r="G41" i="1"/>
  <c r="H41" i="1"/>
  <c r="I41" i="1"/>
  <c r="J41" i="1"/>
  <c r="K41" i="1"/>
  <c r="L41" i="1"/>
  <c r="M41" i="1" s="1"/>
  <c r="C42" i="1"/>
  <c r="H42" i="1" s="1"/>
  <c r="I42" i="1" s="1"/>
  <c r="D42" i="1"/>
  <c r="E42" i="1"/>
  <c r="F42" i="1"/>
  <c r="G42" i="1"/>
  <c r="L42" i="1"/>
  <c r="M42" i="1"/>
  <c r="N42" i="1"/>
  <c r="O42" i="1"/>
  <c r="C43" i="1"/>
  <c r="H43" i="1" s="1"/>
  <c r="I43" i="1" s="1"/>
  <c r="D43" i="1"/>
  <c r="E43" i="1"/>
  <c r="F43" i="1"/>
  <c r="G43" i="1" s="1"/>
  <c r="C44" i="1"/>
  <c r="N44" i="1" s="1"/>
  <c r="O44" i="1" s="1"/>
  <c r="D44" i="1"/>
  <c r="E44" i="1"/>
  <c r="F44" i="1"/>
  <c r="G44" i="1"/>
  <c r="H44" i="1"/>
  <c r="I44" i="1"/>
  <c r="J44" i="1"/>
  <c r="K44" i="1"/>
  <c r="L44" i="1"/>
  <c r="M44" i="1"/>
  <c r="C45" i="1"/>
  <c r="D45" i="1"/>
  <c r="E45" i="1"/>
  <c r="F45" i="1"/>
  <c r="G45" i="1"/>
  <c r="H45" i="1"/>
  <c r="I45" i="1" s="1"/>
  <c r="J45" i="1"/>
  <c r="K45" i="1"/>
  <c r="L45" i="1"/>
  <c r="M45" i="1" s="1"/>
  <c r="N45" i="1"/>
  <c r="O45" i="1"/>
  <c r="C46" i="1"/>
  <c r="H46" i="1" s="1"/>
  <c r="I46" i="1" s="1"/>
  <c r="D46" i="1"/>
  <c r="E46" i="1"/>
  <c r="F46" i="1"/>
  <c r="G46" i="1"/>
  <c r="C47" i="1"/>
  <c r="D47" i="1"/>
  <c r="E47" i="1"/>
  <c r="F47" i="1"/>
  <c r="G47" i="1" s="1"/>
  <c r="H47" i="1"/>
  <c r="I47" i="1"/>
  <c r="J47" i="1"/>
  <c r="K47" i="1"/>
  <c r="L47" i="1"/>
  <c r="M47" i="1" s="1"/>
  <c r="N47" i="1"/>
  <c r="O47" i="1" s="1"/>
  <c r="C48" i="1"/>
  <c r="J48" i="1" s="1"/>
  <c r="K48" i="1" s="1"/>
  <c r="D48" i="1"/>
  <c r="E48" i="1"/>
  <c r="F48" i="1"/>
  <c r="G48" i="1"/>
  <c r="H48" i="1"/>
  <c r="I48" i="1"/>
  <c r="L48" i="1"/>
  <c r="M48" i="1"/>
  <c r="N48" i="1"/>
  <c r="O48" i="1"/>
  <c r="C49" i="1"/>
  <c r="J49" i="1" s="1"/>
  <c r="K49" i="1" s="1"/>
  <c r="D49" i="1"/>
  <c r="E49" i="1"/>
  <c r="F49" i="1"/>
  <c r="G49" i="1"/>
  <c r="H49" i="1"/>
  <c r="I49" i="1" s="1"/>
  <c r="C50" i="1"/>
  <c r="D50" i="1" s="1"/>
  <c r="E50" i="1" s="1"/>
  <c r="J50" i="1"/>
  <c r="K50" i="1" s="1"/>
  <c r="L50" i="1"/>
  <c r="M50" i="1" s="1"/>
  <c r="N50" i="1"/>
  <c r="O50" i="1"/>
  <c r="N30" i="1"/>
  <c r="O30" i="1" s="1"/>
  <c r="J27" i="1"/>
  <c r="K27" i="1" s="1"/>
  <c r="H30" i="1"/>
  <c r="I30" i="1" s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N24" i="1" s="1"/>
  <c r="O24" i="1" s="1"/>
  <c r="C25" i="1"/>
  <c r="N25" i="1" s="1"/>
  <c r="O25" i="1" s="1"/>
  <c r="C26" i="1"/>
  <c r="C27" i="1"/>
  <c r="C28" i="1"/>
  <c r="C29" i="1"/>
  <c r="C30" i="1"/>
  <c r="L30" i="1" s="1"/>
  <c r="M30" i="1" s="1"/>
  <c r="C23" i="5" l="1"/>
  <c r="C22" i="5"/>
  <c r="C9" i="5"/>
  <c r="C42" i="5"/>
  <c r="C41" i="5"/>
  <c r="C40" i="5"/>
  <c r="C48" i="5"/>
  <c r="C47" i="5"/>
  <c r="C46" i="5"/>
  <c r="C45" i="5"/>
  <c r="C44" i="5"/>
  <c r="C21" i="5"/>
  <c r="C10" i="5"/>
  <c r="C43" i="5"/>
  <c r="C7" i="5"/>
  <c r="C27" i="5"/>
  <c r="C26" i="5"/>
  <c r="C49" i="5"/>
  <c r="C19" i="5"/>
  <c r="C50" i="5"/>
  <c r="C20" i="5"/>
  <c r="C8" i="5"/>
  <c r="C39" i="5"/>
  <c r="C30" i="5"/>
  <c r="C29" i="5"/>
  <c r="C28" i="5"/>
  <c r="C25" i="5"/>
  <c r="C24" i="5"/>
  <c r="C37" i="5"/>
  <c r="C17" i="5"/>
  <c r="C36" i="5"/>
  <c r="C16" i="5"/>
  <c r="C54" i="5"/>
  <c r="C34" i="5"/>
  <c r="C14" i="5"/>
  <c r="C18" i="5"/>
  <c r="C6" i="5"/>
  <c r="C56" i="5"/>
  <c r="C55" i="5"/>
  <c r="C35" i="5"/>
  <c r="C53" i="5"/>
  <c r="C33" i="5"/>
  <c r="C13" i="5"/>
  <c r="C52" i="5"/>
  <c r="C32" i="5"/>
  <c r="C12" i="5"/>
  <c r="C38" i="5"/>
  <c r="C15" i="5"/>
  <c r="C51" i="5"/>
  <c r="C31" i="5"/>
  <c r="J35" i="3"/>
  <c r="H33" i="3"/>
  <c r="J46" i="3"/>
  <c r="H44" i="3"/>
  <c r="I35" i="3"/>
  <c r="I46" i="3"/>
  <c r="J37" i="3"/>
  <c r="H35" i="3"/>
  <c r="F33" i="3"/>
  <c r="J48" i="3"/>
  <c r="H46" i="3"/>
  <c r="F44" i="3"/>
  <c r="K39" i="3"/>
  <c r="I37" i="3"/>
  <c r="G35" i="3"/>
  <c r="E33" i="3"/>
  <c r="I30" i="3"/>
  <c r="K46" i="3"/>
  <c r="I44" i="3"/>
  <c r="G33" i="3"/>
  <c r="G44" i="3"/>
  <c r="E44" i="3"/>
  <c r="F35" i="3"/>
  <c r="D33" i="3"/>
  <c r="E21" i="3"/>
  <c r="H31" i="3"/>
  <c r="I51" i="3"/>
  <c r="G49" i="3"/>
  <c r="E47" i="3"/>
  <c r="H40" i="3"/>
  <c r="F38" i="3"/>
  <c r="G31" i="3"/>
  <c r="I38" i="3"/>
  <c r="I49" i="3"/>
  <c r="H38" i="3"/>
  <c r="I40" i="3"/>
  <c r="G38" i="3"/>
  <c r="H51" i="3"/>
  <c r="F49" i="3"/>
  <c r="K44" i="3"/>
  <c r="G40" i="3"/>
  <c r="E38" i="3"/>
  <c r="J33" i="3"/>
  <c r="F31" i="3"/>
  <c r="F22" i="3"/>
  <c r="I31" i="3"/>
  <c r="H49" i="3"/>
  <c r="H50" i="1"/>
  <c r="I50" i="1" s="1"/>
  <c r="H33" i="1"/>
  <c r="I33" i="1" s="1"/>
  <c r="F50" i="1"/>
  <c r="G50" i="1" s="1"/>
  <c r="J42" i="1"/>
  <c r="K42" i="1" s="1"/>
  <c r="H36" i="1"/>
  <c r="I36" i="1" s="1"/>
  <c r="N34" i="1"/>
  <c r="O34" i="1" s="1"/>
  <c r="N37" i="1"/>
  <c r="O37" i="1" s="1"/>
  <c r="N40" i="1"/>
  <c r="O40" i="1" s="1"/>
  <c r="L34" i="1"/>
  <c r="M34" i="1" s="1"/>
  <c r="N43" i="1"/>
  <c r="O43" i="1" s="1"/>
  <c r="L37" i="1"/>
  <c r="M37" i="1" s="1"/>
  <c r="N46" i="1"/>
  <c r="O46" i="1" s="1"/>
  <c r="L40" i="1"/>
  <c r="M40" i="1" s="1"/>
  <c r="J34" i="1"/>
  <c r="K34" i="1" s="1"/>
  <c r="N49" i="1"/>
  <c r="O49" i="1" s="1"/>
  <c r="L43" i="1"/>
  <c r="M43" i="1" s="1"/>
  <c r="J37" i="1"/>
  <c r="K37" i="1" s="1"/>
  <c r="L46" i="1"/>
  <c r="M46" i="1" s="1"/>
  <c r="J40" i="1"/>
  <c r="K40" i="1" s="1"/>
  <c r="H34" i="1"/>
  <c r="I34" i="1" s="1"/>
  <c r="N32" i="1"/>
  <c r="O32" i="1" s="1"/>
  <c r="L49" i="1"/>
  <c r="M49" i="1" s="1"/>
  <c r="J43" i="1"/>
  <c r="K43" i="1" s="1"/>
  <c r="H37" i="1"/>
  <c r="I37" i="1" s="1"/>
  <c r="N35" i="1"/>
  <c r="O35" i="1" s="1"/>
  <c r="J46" i="1"/>
  <c r="K46" i="1" s="1"/>
  <c r="H40" i="1"/>
  <c r="I40" i="1" s="1"/>
  <c r="N38" i="1"/>
  <c r="O38" i="1" s="1"/>
  <c r="F34" i="1"/>
  <c r="G34" i="1" s="1"/>
  <c r="L32" i="1"/>
  <c r="M32" i="1" s="1"/>
  <c r="J28" i="1"/>
  <c r="K28" i="1" s="1"/>
  <c r="J29" i="1"/>
  <c r="K29" i="1" s="1"/>
  <c r="L25" i="1"/>
  <c r="M25" i="1" s="1"/>
  <c r="J30" i="1"/>
  <c r="K30" i="1" s="1"/>
  <c r="L26" i="1"/>
  <c r="M26" i="1" s="1"/>
  <c r="L27" i="1"/>
  <c r="M27" i="1" s="1"/>
  <c r="L28" i="1"/>
  <c r="M28" i="1" s="1"/>
  <c r="N26" i="1"/>
  <c r="O26" i="1" s="1"/>
  <c r="L29" i="1"/>
  <c r="M29" i="1" s="1"/>
  <c r="N27" i="1"/>
  <c r="O27" i="1" s="1"/>
  <c r="N28" i="1"/>
  <c r="O28" i="1" s="1"/>
  <c r="N29" i="1"/>
  <c r="O29" i="1" s="1"/>
</calcChain>
</file>

<file path=xl/sharedStrings.xml><?xml version="1.0" encoding="utf-8"?>
<sst xmlns="http://schemas.openxmlformats.org/spreadsheetml/2006/main" count="104" uniqueCount="18">
  <si>
    <t>DEG</t>
  </si>
  <si>
    <t>RAD</t>
  </si>
  <si>
    <t>Ma</t>
  </si>
  <si>
    <t>Stoßwinkel σ</t>
  </si>
  <si>
    <r>
      <t>Umlenkungswinkel</t>
    </r>
    <r>
      <rPr>
        <i/>
        <sz val="11"/>
        <color theme="0"/>
        <rFont val="CMU Serif"/>
      </rPr>
      <t xml:space="preserve"> θ</t>
    </r>
  </si>
  <si>
    <r>
      <t>Stoßwinkel</t>
    </r>
    <r>
      <rPr>
        <i/>
        <sz val="11"/>
        <color theme="0"/>
        <rFont val="CMU Serif"/>
      </rPr>
      <t xml:space="preserve"> σ</t>
    </r>
  </si>
  <si>
    <t>Fläche</t>
  </si>
  <si>
    <t>Temperatur</t>
  </si>
  <si>
    <t>Geschwindigkeit</t>
  </si>
  <si>
    <t>Dichte</t>
  </si>
  <si>
    <t>Druck</t>
  </si>
  <si>
    <t>Verhältnis</t>
  </si>
  <si>
    <t>Druckverh.</t>
  </si>
  <si>
    <r>
      <t>Ma</t>
    </r>
    <r>
      <rPr>
        <vertAlign val="subscript"/>
        <sz val="11"/>
        <color theme="0"/>
        <rFont val="CMU Serif"/>
      </rPr>
      <t>1</t>
    </r>
  </si>
  <si>
    <r>
      <t>Ma</t>
    </r>
    <r>
      <rPr>
        <vertAlign val="subscript"/>
        <sz val="11"/>
        <color theme="0"/>
        <rFont val="CMU Serif"/>
      </rPr>
      <t>2</t>
    </r>
  </si>
  <si>
    <r>
      <t>Ma</t>
    </r>
    <r>
      <rPr>
        <vertAlign val="subscript"/>
        <sz val="11"/>
        <color theme="0"/>
        <rFont val="CMU Serif"/>
      </rPr>
      <t>1</t>
    </r>
    <r>
      <rPr>
        <sz val="11"/>
        <color theme="0"/>
        <rFont val="CMU Serif"/>
      </rPr>
      <t xml:space="preserve"> lin.</t>
    </r>
  </si>
  <si>
    <t>log</t>
  </si>
  <si>
    <r>
      <t>log</t>
    </r>
    <r>
      <rPr>
        <vertAlign val="subscript"/>
        <sz val="11"/>
        <color theme="0"/>
        <rFont val="CMU Serif"/>
      </rPr>
      <t>10</t>
    </r>
    <r>
      <rPr>
        <sz val="11"/>
        <color theme="0"/>
        <rFont val="CMU Serif"/>
      </rPr>
      <t>(p</t>
    </r>
    <r>
      <rPr>
        <vertAlign val="subscript"/>
        <sz val="11"/>
        <color theme="0"/>
        <rFont val="CMU Serif"/>
      </rPr>
      <t>2</t>
    </r>
    <r>
      <rPr>
        <sz val="11"/>
        <color theme="0"/>
        <rFont val="CMU Serif"/>
      </rPr>
      <t>/p</t>
    </r>
    <r>
      <rPr>
        <vertAlign val="subscript"/>
        <sz val="11"/>
        <color theme="0"/>
        <rFont val="CMU Serif"/>
      </rPr>
      <t>1</t>
    </r>
    <r>
      <rPr>
        <sz val="11"/>
        <color theme="0"/>
        <rFont val="CMU Serif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</si>
</sst>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Ma = &quot;0.0"/>
    <numFmt numFmtId="165" formatCode="0.000"/>
    <numFmt numFmtId="166" formatCode="&quot;θ = &quot;0&quot;°&quot;"/>
    <numFmt numFmtId="167" formatCode="&quot;= &quot;0.000&quot; RAD&quot;"/>
    <numFmt numFmtId="168" formatCode="0.0000"/>
    <numFmt numFmtId="169" formatCode="&quot;→ σ = &quot;0.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CMU Serif"/>
    </font>
    <font>
      <sz val="11"/>
      <color theme="0"/>
      <name val="CMU Serif"/>
    </font>
    <font>
      <i/>
      <sz val="11"/>
      <color theme="0"/>
      <name val="CMU Serif"/>
    </font>
    <font>
      <sz val="11"/>
      <color theme="1" tint="0.499984740745262"/>
      <name val="CMU Serif"/>
    </font>
    <font>
      <sz val="11"/>
      <color theme="0" tint="-0.499984740745262"/>
      <name val="CMU Serif"/>
    </font>
    <font>
      <vertAlign val="subscript"/>
      <sz val="11"/>
      <color theme="0"/>
      <name val="CMU Serif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1" fillId="0" borderId="1" xfId="0" applyFont="1" applyBorder="1"/>
    <xf numFmtId="165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/>
    <xf numFmtId="168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167" fontId="2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68" fontId="0" fillId="0" borderId="1" xfId="0" applyNumberFormat="1" applyBorder="1"/>
    <xf numFmtId="169" fontId="2" fillId="2" borderId="1" xfId="0" applyNumberFormat="1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 vertical="top"/>
    </xf>
    <xf numFmtId="168" fontId="1" fillId="0" borderId="11" xfId="0" applyNumberFormat="1" applyFont="1" applyBorder="1" applyAlignment="1">
      <alignment horizontal="center"/>
    </xf>
    <xf numFmtId="168" fontId="1" fillId="0" borderId="12" xfId="0" applyNumberFormat="1" applyFont="1" applyBorder="1" applyAlignment="1">
      <alignment horizontal="center"/>
    </xf>
    <xf numFmtId="168" fontId="1" fillId="4" borderId="1" xfId="0" applyNumberFormat="1" applyFont="1" applyFill="1" applyBorder="1" applyAlignment="1">
      <alignment horizontal="center"/>
    </xf>
    <xf numFmtId="2" fontId="1" fillId="0" borderId="0" xfId="0" applyNumberFormat="1" applyFont="1"/>
    <xf numFmtId="2" fontId="1" fillId="3" borderId="1" xfId="0" applyNumberFormat="1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2" fontId="0" fillId="0" borderId="0" xfId="0" applyNumberFormat="1"/>
    <xf numFmtId="0" fontId="5" fillId="2" borderId="11" xfId="0" applyFont="1" applyFill="1" applyBorder="1" applyAlignment="1">
      <alignment horizontal="center" vertical="top"/>
    </xf>
    <xf numFmtId="165" fontId="1" fillId="0" borderId="0" xfId="0" applyNumberFormat="1" applyFont="1"/>
    <xf numFmtId="165" fontId="1" fillId="3" borderId="11" xfId="0" applyNumberFormat="1" applyFont="1" applyFill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165" fontId="1" fillId="3" borderId="12" xfId="0" applyNumberFormat="1" applyFont="1" applyFill="1" applyBorder="1" applyAlignment="1">
      <alignment horizontal="center"/>
    </xf>
    <xf numFmtId="165" fontId="0" fillId="0" borderId="0" xfId="0" applyNumberFormat="1"/>
    <xf numFmtId="165" fontId="2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6" fontId="2" fillId="2" borderId="9" xfId="0" applyNumberFormat="1" applyFont="1" applyFill="1" applyBorder="1" applyAlignment="1">
      <alignment horizontal="center" vertical="top"/>
    </xf>
    <xf numFmtId="166" fontId="2" fillId="2" borderId="10" xfId="0" applyNumberFormat="1" applyFont="1" applyFill="1" applyBorder="1" applyAlignment="1">
      <alignment horizontal="center" vertical="top"/>
    </xf>
    <xf numFmtId="165" fontId="2" fillId="2" borderId="9" xfId="0" applyNumberFormat="1" applyFont="1" applyFill="1" applyBorder="1" applyAlignment="1">
      <alignment horizontal="center"/>
    </xf>
    <xf numFmtId="165" fontId="2" fillId="2" borderId="10" xfId="0" applyNumberFormat="1" applyFont="1" applyFill="1" applyBorder="1" applyAlignment="1">
      <alignment horizontal="center"/>
    </xf>
    <xf numFmtId="165" fontId="2" fillId="2" borderId="11" xfId="0" applyNumberFormat="1" applyFont="1" applyFill="1" applyBorder="1" applyAlignment="1">
      <alignment horizontal="center"/>
    </xf>
    <xf numFmtId="2" fontId="2" fillId="2" borderId="9" xfId="0" applyNumberFormat="1" applyFont="1" applyFill="1" applyBorder="1" applyAlignment="1">
      <alignment horizontal="center" wrapText="1"/>
    </xf>
    <xf numFmtId="2" fontId="2" fillId="2" borderId="10" xfId="0" applyNumberFormat="1" applyFont="1" applyFill="1" applyBorder="1" applyAlignment="1">
      <alignment horizontal="center" wrapText="1"/>
    </xf>
    <xf numFmtId="2" fontId="2" fillId="2" borderId="11" xfId="0" applyNumberFormat="1" applyFont="1" applyFill="1" applyBorder="1" applyAlignment="1">
      <alignment horizontal="center" wrapText="1"/>
    </xf>
    <xf numFmtId="166" fontId="2" fillId="2" borderId="1" xfId="0" applyNumberFormat="1" applyFont="1" applyFill="1" applyBorder="1" applyAlignment="1">
      <alignment horizontal="center"/>
    </xf>
    <xf numFmtId="166" fontId="2" fillId="2" borderId="3" xfId="0" applyNumberFormat="1" applyFont="1" applyFill="1" applyBorder="1" applyAlignment="1">
      <alignment horizontal="center"/>
    </xf>
    <xf numFmtId="166" fontId="2" fillId="2" borderId="2" xfId="0" applyNumberFormat="1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3" borderId="1" xfId="0" applyFill="1" applyBorder="1"/>
    <xf numFmtId="0" fontId="1" fillId="4" borderId="1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8" fontId="1" fillId="0" borderId="9" xfId="0" applyNumberFormat="1" applyFont="1" applyBorder="1" applyAlignment="1">
      <alignment horizontal="center"/>
    </xf>
    <xf numFmtId="168" fontId="1" fillId="0" borderId="1" xfId="0" applyNumberFormat="1" applyFont="1" applyFill="1" applyBorder="1" applyAlignment="1">
      <alignment horizontal="center"/>
    </xf>
    <xf numFmtId="168" fontId="2" fillId="2" borderId="1" xfId="0" applyNumberFormat="1" applyFont="1" applyFill="1" applyBorder="1" applyAlignment="1">
      <alignment horizontal="center"/>
    </xf>
    <xf numFmtId="168" fontId="0" fillId="0" borderId="0" xfId="0" applyNumberFormat="1"/>
    <xf numFmtId="168" fontId="1" fillId="0" borderId="0" xfId="0" applyNumberFormat="1" applyFont="1"/>
    <xf numFmtId="168" fontId="0" fillId="0" borderId="0" xfId="0" applyNumberFormat="1" applyAlignment="1">
      <alignment horizontal="center"/>
    </xf>
    <xf numFmtId="168" fontId="1" fillId="0" borderId="0" xfId="0" applyNumberFormat="1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8E4000"/>
      <color rgb="FF1D79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270972686872918E-2"/>
          <c:y val="4.5925090418986916E-2"/>
          <c:w val="0.86100755784392846"/>
          <c:h val="0.8802922812597461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'Adiabate-Vorgänge'!$C$3</c:f>
              <c:strCache>
                <c:ptCount val="1"/>
                <c:pt idx="0">
                  <c:v>Fläche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'Adiabate-Vorgänge'!$B$4:$B$34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'Adiabate-Vorgänge'!$C$4:$C$34</c:f>
              <c:numCache>
                <c:formatCode>0.0000</c:formatCode>
                <c:ptCount val="31"/>
                <c:pt idx="1">
                  <c:v>5.8218287500000008</c:v>
                </c:pt>
                <c:pt idx="2">
                  <c:v>2.9635200000000008</c:v>
                </c:pt>
                <c:pt idx="3">
                  <c:v>2.0350652623456793</c:v>
                </c:pt>
                <c:pt idx="4">
                  <c:v>1.5901400000000003</c:v>
                </c:pt>
                <c:pt idx="5">
                  <c:v>1.3398437500000004</c:v>
                </c:pt>
                <c:pt idx="6">
                  <c:v>1.1881995061728399</c:v>
                </c:pt>
                <c:pt idx="7">
                  <c:v>1.0943726785714283</c:v>
                </c:pt>
                <c:pt idx="8">
                  <c:v>1.0382300000000004</c:v>
                </c:pt>
                <c:pt idx="9">
                  <c:v>1.0088628652263374</c:v>
                </c:pt>
                <c:pt idx="10">
                  <c:v>1</c:v>
                </c:pt>
                <c:pt idx="11">
                  <c:v>1.0079253409090911</c:v>
                </c:pt>
                <c:pt idx="12">
                  <c:v>1.0304397530864196</c:v>
                </c:pt>
                <c:pt idx="13">
                  <c:v>1.0663045192307699</c:v>
                </c:pt>
                <c:pt idx="14">
                  <c:v>1.1149257142857143</c:v>
                </c:pt>
                <c:pt idx="15">
                  <c:v>1.1761670524691357</c:v>
                </c:pt>
                <c:pt idx="16">
                  <c:v>1.250235</c:v>
                </c:pt>
                <c:pt idx="17">
                  <c:v>1.3376063970588237</c:v>
                </c:pt>
                <c:pt idx="18">
                  <c:v>1.4389820576131689</c:v>
                </c:pt>
                <c:pt idx="19">
                  <c:v>1.5552567763157896</c:v>
                </c:pt>
                <c:pt idx="20">
                  <c:v>1.6875000000000004</c:v>
                </c:pt>
                <c:pt idx="21">
                  <c:v>1.8369436089065252</c:v>
                </c:pt>
                <c:pt idx="22">
                  <c:v>2.0049745454545462</c:v>
                </c:pt>
                <c:pt idx="23">
                  <c:v>2.1931308152173914</c:v>
                </c:pt>
                <c:pt idx="24">
                  <c:v>2.4030998765432106</c:v>
                </c:pt>
                <c:pt idx="25">
                  <c:v>2.6367187500000004</c:v>
                </c:pt>
                <c:pt idx="26">
                  <c:v>2.8959753846153848</c:v>
                </c:pt>
                <c:pt idx="27">
                  <c:v>3.183010955075448</c:v>
                </c:pt>
                <c:pt idx="28">
                  <c:v>3.5001228571428573</c:v>
                </c:pt>
                <c:pt idx="29">
                  <c:v>3.8497682327586227</c:v>
                </c:pt>
                <c:pt idx="30">
                  <c:v>4.2345679012345698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DCB4-4CEA-BD79-06FFE4AECE63}"/>
            </c:ext>
          </c:extLst>
        </c:ser>
        <c:ser>
          <c:idx val="1"/>
          <c:order val="1"/>
          <c:tx>
            <c:strRef>
              <c:f>'Adiabate-Vorgänge'!$D$3</c:f>
              <c:strCache>
                <c:ptCount val="1"/>
                <c:pt idx="0">
                  <c:v>Temperatur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noFill/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DCB4-4CEA-BD79-06FFE4AECE63}"/>
              </c:ext>
            </c:extLst>
          </c:dPt>
          <c:xVal>
            <c:numRef>
              <c:f>'Adiabate-Vorgänge'!$B$4:$B$34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'Adiabate-Vorgänge'!$D$4:$D$34</c:f>
              <c:numCache>
                <c:formatCode>0.0000</c:formatCode>
                <c:ptCount val="31"/>
                <c:pt idx="0">
                  <c:v>1</c:v>
                </c:pt>
                <c:pt idx="1">
                  <c:v>0.99800399201596801</c:v>
                </c:pt>
                <c:pt idx="2">
                  <c:v>0.99206349206349209</c:v>
                </c:pt>
                <c:pt idx="3">
                  <c:v>0.98231827111984282</c:v>
                </c:pt>
                <c:pt idx="4">
                  <c:v>0.96899224806201545</c:v>
                </c:pt>
                <c:pt idx="5">
                  <c:v>0.95238095238095233</c:v>
                </c:pt>
                <c:pt idx="6">
                  <c:v>0.93283582089552231</c:v>
                </c:pt>
                <c:pt idx="7">
                  <c:v>0.91074681238615673</c:v>
                </c:pt>
                <c:pt idx="8">
                  <c:v>0.88652482269503541</c:v>
                </c:pt>
                <c:pt idx="9">
                  <c:v>0.86058519793459554</c:v>
                </c:pt>
                <c:pt idx="10">
                  <c:v>0.83333333333333337</c:v>
                </c:pt>
                <c:pt idx="11">
                  <c:v>0.80515297906602257</c:v>
                </c:pt>
                <c:pt idx="12">
                  <c:v>0.77639751552795044</c:v>
                </c:pt>
                <c:pt idx="13">
                  <c:v>0.74738415545590431</c:v>
                </c:pt>
                <c:pt idx="14">
                  <c:v>0.71839080459770122</c:v>
                </c:pt>
                <c:pt idx="15">
                  <c:v>0.68965517241379315</c:v>
                </c:pt>
                <c:pt idx="16">
                  <c:v>0.66137566137566139</c:v>
                </c:pt>
                <c:pt idx="17">
                  <c:v>0.63371356147021551</c:v>
                </c:pt>
                <c:pt idx="18">
                  <c:v>0.60679611650485443</c:v>
                </c:pt>
                <c:pt idx="19">
                  <c:v>0.58072009291521487</c:v>
                </c:pt>
                <c:pt idx="20">
                  <c:v>0.55555555555555558</c:v>
                </c:pt>
                <c:pt idx="21">
                  <c:v>0.53134962805526043</c:v>
                </c:pt>
                <c:pt idx="22">
                  <c:v>0.50813008130081305</c:v>
                </c:pt>
                <c:pt idx="23">
                  <c:v>0.48590864917395532</c:v>
                </c:pt>
                <c:pt idx="24">
                  <c:v>0.46468401486988853</c:v>
                </c:pt>
                <c:pt idx="25">
                  <c:v>0.44444444444444442</c:v>
                </c:pt>
                <c:pt idx="26">
                  <c:v>0.42517006802721091</c:v>
                </c:pt>
                <c:pt idx="27">
                  <c:v>0.4068348250610252</c:v>
                </c:pt>
                <c:pt idx="28">
                  <c:v>0.38940809968847356</c:v>
                </c:pt>
                <c:pt idx="29">
                  <c:v>0.37285607755406419</c:v>
                </c:pt>
                <c:pt idx="30">
                  <c:v>0.35714285714285715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DCB4-4CEA-BD79-06FFE4AECE63}"/>
            </c:ext>
          </c:extLst>
        </c:ser>
        <c:ser>
          <c:idx val="2"/>
          <c:order val="2"/>
          <c:tx>
            <c:strRef>
              <c:f>'Adiabate-Vorgänge'!$E$3</c:f>
              <c:strCache>
                <c:ptCount val="1"/>
                <c:pt idx="0">
                  <c:v>Geschwindigkeit</c:v>
                </c:pt>
              </c:strCache>
            </c:strRef>
          </c:tx>
          <c:spPr>
            <a:ln w="19050" cap="rnd">
              <a:solidFill>
                <a:srgbClr val="1D792A"/>
              </a:solidFill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noFill/>
                <a:ln w="9525">
                  <a:solidFill>
                    <a:srgbClr val="1D792A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1D792A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DCB4-4CEA-BD79-06FFE4AECE63}"/>
              </c:ext>
            </c:extLst>
          </c:dPt>
          <c:xVal>
            <c:numRef>
              <c:f>'Adiabate-Vorgänge'!$B$4:$B$34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'Adiabate-Vorgänge'!$E$4:$E$34</c:f>
              <c:numCache>
                <c:formatCode>0.0000</c:formatCode>
                <c:ptCount val="31"/>
                <c:pt idx="0">
                  <c:v>0</c:v>
                </c:pt>
                <c:pt idx="1">
                  <c:v>0.10943513103291656</c:v>
                </c:pt>
                <c:pt idx="2">
                  <c:v>0.21821789023599239</c:v>
                </c:pt>
                <c:pt idx="3">
                  <c:v>0.32571517201527939</c:v>
                </c:pt>
                <c:pt idx="4">
                  <c:v>0.4313310928137537</c:v>
                </c:pt>
                <c:pt idx="5">
                  <c:v>0.53452248382484879</c:v>
                </c:pt>
                <c:pt idx="6">
                  <c:v>0.63481105427273843</c:v>
                </c:pt>
                <c:pt idx="7">
                  <c:v>0.73179172288504324</c:v>
                </c:pt>
                <c:pt idx="8">
                  <c:v>0.8251369970070348</c:v>
                </c:pt>
                <c:pt idx="9">
                  <c:v>0.91459762321603855</c:v>
                </c:pt>
                <c:pt idx="10">
                  <c:v>1</c:v>
                </c:pt>
                <c:pt idx="11">
                  <c:v>1.081241011802579</c:v>
                </c:pt>
                <c:pt idx="12">
                  <c:v>1.1582810137580164</c:v>
                </c:pt>
                <c:pt idx="13">
                  <c:v>1.2311356819069839</c:v>
                </c:pt>
                <c:pt idx="14">
                  <c:v>1.299867367239363</c:v>
                </c:pt>
                <c:pt idx="15">
                  <c:v>1.3645764784420262</c:v>
                </c:pt>
                <c:pt idx="16">
                  <c:v>1.4253932901995967</c:v>
                </c:pt>
                <c:pt idx="17">
                  <c:v>1.482470448669621</c:v>
                </c:pt>
                <c:pt idx="18">
                  <c:v>1.5359763347691506</c:v>
                </c:pt>
                <c:pt idx="19">
                  <c:v>1.5860893551463962</c:v>
                </c:pt>
                <c:pt idx="20">
                  <c:v>1.6329931618554521</c:v>
                </c:pt>
                <c:pt idx="21">
                  <c:v>1.6768727535708958</c:v>
                </c:pt>
                <c:pt idx="22">
                  <c:v>1.7179113807746669</c:v>
                </c:pt>
                <c:pt idx="23">
                  <c:v>1.7562881611387888</c:v>
                </c:pt>
                <c:pt idx="24">
                  <c:v>1.7921763057190185</c:v>
                </c:pt>
                <c:pt idx="25">
                  <c:v>1.8257418583505538</c:v>
                </c:pt>
                <c:pt idx="26">
                  <c:v>1.8571428571428572</c:v>
                </c:pt>
                <c:pt idx="27">
                  <c:v>1.8865288361522197</c:v>
                </c:pt>
                <c:pt idx="28">
                  <c:v>1.9140405956690569</c:v>
                </c:pt>
                <c:pt idx="29">
                  <c:v>1.9398101800628886</c:v>
                </c:pt>
                <c:pt idx="30">
                  <c:v>1.9639610121239313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DCB4-4CEA-BD79-06FFE4AECE63}"/>
            </c:ext>
          </c:extLst>
        </c:ser>
        <c:ser>
          <c:idx val="3"/>
          <c:order val="3"/>
          <c:tx>
            <c:strRef>
              <c:f>'Adiabate-Vorgänge'!$F$3</c:f>
              <c:strCache>
                <c:ptCount val="1"/>
                <c:pt idx="0">
                  <c:v>Druck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noFill/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DCB4-4CEA-BD79-06FFE4AECE63}"/>
              </c:ext>
            </c:extLst>
          </c:dPt>
          <c:xVal>
            <c:numRef>
              <c:f>'Adiabate-Vorgänge'!$B$4:$B$34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'Adiabate-Vorgänge'!$F$4:$F$34</c:f>
              <c:numCache>
                <c:formatCode>0.0000</c:formatCode>
                <c:ptCount val="31"/>
                <c:pt idx="0">
                  <c:v>1</c:v>
                </c:pt>
                <c:pt idx="1">
                  <c:v>0.99303138487425191</c:v>
                </c:pt>
                <c:pt idx="2">
                  <c:v>0.97249670295577673</c:v>
                </c:pt>
                <c:pt idx="3">
                  <c:v>0.93946969849401596</c:v>
                </c:pt>
                <c:pt idx="4">
                  <c:v>0.89561438304823826</c:v>
                </c:pt>
                <c:pt idx="5">
                  <c:v>0.843019175422553</c:v>
                </c:pt>
                <c:pt idx="6">
                  <c:v>0.78400395086944386</c:v>
                </c:pt>
                <c:pt idx="7">
                  <c:v>0.72092786099191564</c:v>
                </c:pt>
                <c:pt idx="8">
                  <c:v>0.65602161835897499</c:v>
                </c:pt>
                <c:pt idx="9">
                  <c:v>0.59126007183559093</c:v>
                </c:pt>
                <c:pt idx="10">
                  <c:v>0.52828178771717416</c:v>
                </c:pt>
                <c:pt idx="11">
                  <c:v>0.46835419504729736</c:v>
                </c:pt>
                <c:pt idx="12">
                  <c:v>0.41237704231114203</c:v>
                </c:pt>
                <c:pt idx="13">
                  <c:v>0.36091389540913593</c:v>
                </c:pt>
                <c:pt idx="14">
                  <c:v>0.31424087582682697</c:v>
                </c:pt>
                <c:pt idx="15">
                  <c:v>0.27240306647665746</c:v>
                </c:pt>
                <c:pt idx="16">
                  <c:v>0.23527118012648238</c:v>
                </c:pt>
                <c:pt idx="17">
                  <c:v>0.20259349840383614</c:v>
                </c:pt>
                <c:pt idx="18">
                  <c:v>0.17404028036546976</c:v>
                </c:pt>
                <c:pt idx="19">
                  <c:v>0.1492395686387889</c:v>
                </c:pt>
                <c:pt idx="20">
                  <c:v>0.12780452546295096</c:v>
                </c:pt>
                <c:pt idx="21">
                  <c:v>0.10935315892526694</c:v>
                </c:pt>
                <c:pt idx="22">
                  <c:v>9.3521652196252178E-2</c:v>
                </c:pt>
                <c:pt idx="23">
                  <c:v>7.9972597763428202E-2</c:v>
                </c:pt>
                <c:pt idx="24">
                  <c:v>6.8399364314233005E-2</c:v>
                </c:pt>
                <c:pt idx="25">
                  <c:v>5.8527663465935055E-2</c:v>
                </c:pt>
                <c:pt idx="26">
                  <c:v>5.0115190907340866E-2</c:v>
                </c:pt>
                <c:pt idx="27">
                  <c:v>4.2950025407012211E-2</c:v>
                </c:pt>
                <c:pt idx="28">
                  <c:v>3.6848297935959264E-2</c:v>
                </c:pt>
                <c:pt idx="29">
                  <c:v>3.1651499719626247E-2</c:v>
                </c:pt>
                <c:pt idx="30">
                  <c:v>2.7223683703862831E-2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DCB4-4CEA-BD79-06FFE4AECE63}"/>
            </c:ext>
          </c:extLst>
        </c:ser>
        <c:ser>
          <c:idx val="4"/>
          <c:order val="4"/>
          <c:tx>
            <c:strRef>
              <c:f>'Adiabate-Vorgänge'!$G$3</c:f>
              <c:strCache>
                <c:ptCount val="1"/>
                <c:pt idx="0">
                  <c:v>Dichte</c:v>
                </c:pt>
              </c:strCache>
            </c:strRef>
          </c:tx>
          <c:spPr>
            <a:ln w="19050" cap="rnd">
              <a:solidFill>
                <a:srgbClr val="8E4000"/>
              </a:solidFill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noFill/>
                <a:ln w="9525">
                  <a:solidFill>
                    <a:srgbClr val="8E4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DCB4-4CEA-BD79-06FFE4AECE63}"/>
              </c:ext>
            </c:extLst>
          </c:dPt>
          <c:xVal>
            <c:numRef>
              <c:f>'Adiabate-Vorgänge'!$B$4:$B$34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'Adiabate-Vorgänge'!$G$4:$G$34</c:f>
              <c:numCache>
                <c:formatCode>0.0000</c:formatCode>
                <c:ptCount val="31"/>
                <c:pt idx="0">
                  <c:v>1</c:v>
                </c:pt>
                <c:pt idx="1">
                  <c:v>0.99501744764400046</c:v>
                </c:pt>
                <c:pt idx="2">
                  <c:v>0.98027667657942297</c:v>
                </c:pt>
                <c:pt idx="3">
                  <c:v>0.95638015306690827</c:v>
                </c:pt>
                <c:pt idx="4">
                  <c:v>0.92427404330578189</c:v>
                </c:pt>
                <c:pt idx="5">
                  <c:v>0.88517013419368074</c:v>
                </c:pt>
                <c:pt idx="6">
                  <c:v>0.84045223533204383</c:v>
                </c:pt>
                <c:pt idx="7">
                  <c:v>0.79157879136912335</c:v>
                </c:pt>
                <c:pt idx="8">
                  <c:v>0.73999238550892388</c:v>
                </c:pt>
                <c:pt idx="9">
                  <c:v>0.68704420347295658</c:v>
                </c:pt>
                <c:pt idx="10">
                  <c:v>0.63393814526060888</c:v>
                </c:pt>
                <c:pt idx="11">
                  <c:v>0.58169591024874334</c:v>
                </c:pt>
                <c:pt idx="12">
                  <c:v>0.53114163049675089</c:v>
                </c:pt>
                <c:pt idx="13">
                  <c:v>0.48290279205742392</c:v>
                </c:pt>
                <c:pt idx="14">
                  <c:v>0.43742329915094313</c:v>
                </c:pt>
                <c:pt idx="15">
                  <c:v>0.39498444639115327</c:v>
                </c:pt>
                <c:pt idx="16">
                  <c:v>0.35573002435124129</c:v>
                </c:pt>
                <c:pt idx="17">
                  <c:v>0.3196925404812534</c:v>
                </c:pt>
                <c:pt idx="18">
                  <c:v>0.28681838204229415</c:v>
                </c:pt>
                <c:pt idx="19">
                  <c:v>0.25699053719599446</c:v>
                </c:pt>
                <c:pt idx="20">
                  <c:v>0.23004814583331168</c:v>
                </c:pt>
                <c:pt idx="21">
                  <c:v>0.20580264509735235</c:v>
                </c:pt>
                <c:pt idx="22">
                  <c:v>0.18405061152222429</c:v>
                </c:pt>
                <c:pt idx="23">
                  <c:v>0.16458360619713525</c:v>
                </c:pt>
                <c:pt idx="24">
                  <c:v>0.14719543200422941</c:v>
                </c:pt>
                <c:pt idx="25">
                  <c:v>0.13168724279835387</c:v>
                </c:pt>
                <c:pt idx="26">
                  <c:v>0.11787092901406571</c:v>
                </c:pt>
                <c:pt idx="27">
                  <c:v>0.105571162450436</c:v>
                </c:pt>
                <c:pt idx="28">
                  <c:v>9.4626429099543385E-2</c:v>
                </c:pt>
                <c:pt idx="29">
                  <c:v>8.4889322248037552E-2</c:v>
                </c:pt>
                <c:pt idx="30">
                  <c:v>7.6226314370815895E-2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DCB4-4CEA-BD79-06FFE4AEC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764384"/>
        <c:axId val="1903764864"/>
      </c:scatterChart>
      <c:valAx>
        <c:axId val="1903764384"/>
        <c:scaling>
          <c:orientation val="minMax"/>
          <c:max val="3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CMU Serif" panose="02000603000000000000" pitchFamily="2" charset="0"/>
                    <a:ea typeface="CMU Serif" panose="02000603000000000000" pitchFamily="2" charset="0"/>
                    <a:cs typeface="CMU Serif" panose="02000603000000000000" pitchFamily="2" charset="0"/>
                  </a:defRPr>
                </a:pPr>
                <a:r>
                  <a:rPr lang="de-DE" sz="1400">
                    <a:solidFill>
                      <a:sysClr val="windowText" lastClr="000000"/>
                    </a:solidFill>
                  </a:rPr>
                  <a:t>Ma</a:t>
                </a:r>
                <a:endParaRPr lang="de-DE" sz="1400" i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86887993153639709"/>
              <c:y val="0.957369145817047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864"/>
        <c:crosses val="autoZero"/>
        <c:crossBetween val="midCat"/>
        <c:majorUnit val="0.5"/>
      </c:valAx>
      <c:valAx>
        <c:axId val="1903764864"/>
        <c:scaling>
          <c:orientation val="minMax"/>
          <c:max val="3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384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MU Serif" panose="02000603000000000000" pitchFamily="2" charset="0"/>
          <a:ea typeface="CMU Serif" panose="02000603000000000000" pitchFamily="2" charset="0"/>
          <a:cs typeface="CMU Serif" panose="02000603000000000000" pitchFamily="2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888777207457472E-2"/>
          <c:y val="1.4263738880256678E-2"/>
          <c:w val="0.87597314922554481"/>
          <c:h val="0.9261332321019686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xliv!$D$3</c:f>
              <c:strCache>
                <c:ptCount val="1"/>
                <c:pt idx="0">
                  <c:v>Ma = 1,1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xliv!$E$5:$E$50</c:f>
              <c:numCache>
                <c:formatCode>0.000</c:formatCode>
                <c:ptCount val="46"/>
                <c:pt idx="32">
                  <c:v>-0.42687957381331959</c:v>
                </c:pt>
                <c:pt idx="33">
                  <c:v>0.17377019076957656</c:v>
                </c:pt>
                <c:pt idx="34">
                  <c:v>0.65913191547168859</c:v>
                </c:pt>
                <c:pt idx="35">
                  <c:v>1.0317298907919357</c:v>
                </c:pt>
                <c:pt idx="36">
                  <c:v>1.2950806135325017</c:v>
                </c:pt>
                <c:pt idx="37">
                  <c:v>1.4538806492571676</c:v>
                </c:pt>
                <c:pt idx="38">
                  <c:v>1.5141733037586422</c:v>
                </c:pt>
                <c:pt idx="39">
                  <c:v>1.4834789465779445</c:v>
                </c:pt>
                <c:pt idx="40">
                  <c:v>1.3708728194180217</c:v>
                </c:pt>
                <c:pt idx="41">
                  <c:v>1.1869949786296861</c:v>
                </c:pt>
                <c:pt idx="42">
                  <c:v>0.94398015796498091</c:v>
                </c:pt>
                <c:pt idx="43">
                  <c:v>0.655300958618388</c:v>
                </c:pt>
                <c:pt idx="44">
                  <c:v>0.33552554115332434</c:v>
                </c:pt>
                <c:pt idx="45">
                  <c:v>5.9344305580031988E-16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10-43EB-A20D-80A41E0F4C79}"/>
            </c:ext>
          </c:extLst>
        </c:ser>
        <c:ser>
          <c:idx val="1"/>
          <c:order val="1"/>
          <c:tx>
            <c:strRef>
              <c:f>xliv!$F$3</c:f>
              <c:strCache>
                <c:ptCount val="1"/>
                <c:pt idx="0">
                  <c:v>Ma = 1,2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xliv!$G$5:$G$50</c:f>
              <c:numCache>
                <c:formatCode>0.000</c:formatCode>
                <c:ptCount val="46"/>
                <c:pt idx="28">
                  <c:v>-0.22862184708977898</c:v>
                </c:pt>
                <c:pt idx="29">
                  <c:v>0.75365534410476964</c:v>
                </c:pt>
                <c:pt idx="30">
                  <c:v>1.6053920614433592</c:v>
                </c:pt>
                <c:pt idx="31">
                  <c:v>2.3256140150174343</c:v>
                </c:pt>
                <c:pt idx="32">
                  <c:v>2.9135014273660995</c:v>
                </c:pt>
                <c:pt idx="33">
                  <c:v>3.368615224000401</c:v>
                </c:pt>
                <c:pt idx="34">
                  <c:v>3.6911527006396656</c:v>
                </c:pt>
                <c:pt idx="35">
                  <c:v>3.8822292539608667</c:v>
                </c:pt>
                <c:pt idx="36">
                  <c:v>3.944178358298553</c:v>
                </c:pt>
                <c:pt idx="37">
                  <c:v>3.8808564960003369</c:v>
                </c:pt>
                <c:pt idx="38">
                  <c:v>3.6979336337571729</c:v>
                </c:pt>
                <c:pt idx="39">
                  <c:v>3.4031439215419756</c:v>
                </c:pt>
                <c:pt idx="40">
                  <c:v>3.0064668465587698</c:v>
                </c:pt>
                <c:pt idx="41">
                  <c:v>2.5202076787674095</c:v>
                </c:pt>
                <c:pt idx="42">
                  <c:v>1.9589492530610964</c:v>
                </c:pt>
                <c:pt idx="43">
                  <c:v>1.3393559674377227</c:v>
                </c:pt>
                <c:pt idx="44">
                  <c:v>0.6798252451810094</c:v>
                </c:pt>
                <c:pt idx="45">
                  <c:v>1.1989971943720741E-15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D10-43EB-A20D-80A41E0F4C79}"/>
            </c:ext>
          </c:extLst>
        </c:ser>
        <c:ser>
          <c:idx val="2"/>
          <c:order val="2"/>
          <c:tx>
            <c:strRef>
              <c:f>xliv!$H$3</c:f>
              <c:strCache>
                <c:ptCount val="1"/>
                <c:pt idx="0">
                  <c:v>Ma = 1,3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xliv!$I$5:$I$50</c:f>
              <c:numCache>
                <c:formatCode>0.000</c:formatCode>
                <c:ptCount val="46"/>
                <c:pt idx="25">
                  <c:v>-0.19519238152269844</c:v>
                </c:pt>
                <c:pt idx="26">
                  <c:v>1.1180533005525304</c:v>
                </c:pt>
                <c:pt idx="27">
                  <c:v>2.297307154475559</c:v>
                </c:pt>
                <c:pt idx="28">
                  <c:v>3.3410757859823503</c:v>
                </c:pt>
                <c:pt idx="29">
                  <c:v>4.2472940767561322</c:v>
                </c:pt>
                <c:pt idx="30">
                  <c:v>5.0134810469010773</c:v>
                </c:pt>
                <c:pt idx="31">
                  <c:v>5.6369276733548386</c:v>
                </c:pt>
                <c:pt idx="32">
                  <c:v>6.1149241710682141</c:v>
                </c:pt>
                <c:pt idx="33">
                  <c:v>6.4450334987368771</c:v>
                </c:pt>
                <c:pt idx="34">
                  <c:v>6.625415792041851</c:v>
                </c:pt>
                <c:pt idx="35">
                  <c:v>6.6552045463320679</c:v>
                </c:pt>
                <c:pt idx="36">
                  <c:v>6.5349291895301898</c:v>
                </c:pt>
                <c:pt idx="37">
                  <c:v>6.2669699405912498</c:v>
                </c:pt>
                <c:pt idx="38">
                  <c:v>5.8560197618996721</c:v>
                </c:pt>
                <c:pt idx="39">
                  <c:v>5.3095158211283549</c:v>
                </c:pt>
                <c:pt idx="40">
                  <c:v>4.6379912954221076</c:v>
                </c:pt>
                <c:pt idx="41">
                  <c:v>3.8552907905239406</c:v>
                </c:pt>
                <c:pt idx="42">
                  <c:v>2.978592949278382</c:v>
                </c:pt>
                <c:pt idx="43">
                  <c:v>2.0281953627787273</c:v>
                </c:pt>
                <c:pt idx="44">
                  <c:v>1.0270410138390633</c:v>
                </c:pt>
                <c:pt idx="45">
                  <c:v>1.8099823117650998E-15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D10-43EB-A20D-80A41E0F4C79}"/>
            </c:ext>
          </c:extLst>
        </c:ser>
        <c:ser>
          <c:idx val="3"/>
          <c:order val="3"/>
          <c:tx>
            <c:strRef>
              <c:f>xliv!$J$3</c:f>
              <c:strCache>
                <c:ptCount val="1"/>
                <c:pt idx="0">
                  <c:v>Ma = 1,4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xliv!$K$5:$K$50</c:f>
              <c:numCache>
                <c:formatCode>0.000</c:formatCode>
                <c:ptCount val="46"/>
                <c:pt idx="22">
                  <c:v>-1.3362449153029001</c:v>
                </c:pt>
                <c:pt idx="23">
                  <c:v>0.33611058096557672</c:v>
                </c:pt>
                <c:pt idx="24">
                  <c:v>1.873225708207843</c:v>
                </c:pt>
                <c:pt idx="25">
                  <c:v>3.2755043606356513</c:v>
                </c:pt>
                <c:pt idx="26">
                  <c:v>4.5422093355962785</c:v>
                </c:pt>
                <c:pt idx="27">
                  <c:v>5.6715642361784662</c:v>
                </c:pt>
                <c:pt idx="28">
                  <c:v>6.6608630738272314</c:v>
                </c:pt>
                <c:pt idx="29">
                  <c:v>7.5065960242733061</c:v>
                </c:pt>
                <c:pt idx="30">
                  <c:v>8.2046014191469574</c:v>
                </c:pt>
                <c:pt idx="31">
                  <c:v>8.7502556228968214</c:v>
                </c:pt>
                <c:pt idx="32">
                  <c:v>9.1387136897229091</c:v>
                </c:pt>
                <c:pt idx="33">
                  <c:v>9.3652141551417536</c:v>
                </c:pt>
                <c:pt idx="34">
                  <c:v>9.4254602807794008</c:v>
                </c:pt>
                <c:pt idx="35">
                  <c:v>9.3160865688685561</c:v>
                </c:pt>
                <c:pt idx="36">
                  <c:v>9.0352122388587723</c:v>
                </c:pt>
                <c:pt idx="37">
                  <c:v>8.5830715031788021</c:v>
                </c:pt>
                <c:pt idx="38">
                  <c:v>7.9626932948717233</c:v>
                </c:pt>
                <c:pt idx="39">
                  <c:v>7.1805812213498932</c:v>
                </c:pt>
                <c:pt idx="40">
                  <c:v>6.2473206667040229</c:v>
                </c:pt>
                <c:pt idx="41">
                  <c:v>5.1780195628422652</c:v>
                </c:pt>
                <c:pt idx="42">
                  <c:v>3.9924802688728276</c:v>
                </c:pt>
                <c:pt idx="43">
                  <c:v>2.7150107649581723</c:v>
                </c:pt>
                <c:pt idx="44">
                  <c:v>1.3738196637440094</c:v>
                </c:pt>
                <c:pt idx="45">
                  <c:v>2.4205460601116465E-15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D10-43EB-A20D-80A41E0F4C79}"/>
            </c:ext>
          </c:extLst>
        </c:ser>
        <c:ser>
          <c:idx val="4"/>
          <c:order val="4"/>
          <c:tx>
            <c:strRef>
              <c:f>xliv!$L$3</c:f>
              <c:strCache>
                <c:ptCount val="1"/>
                <c:pt idx="0">
                  <c:v>Ma = 1,5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xliv!$M$5:$M$50</c:f>
              <c:numCache>
                <c:formatCode>0.000</c:formatCode>
                <c:ptCount val="46"/>
                <c:pt idx="20">
                  <c:v>-1.7335296882288886</c:v>
                </c:pt>
                <c:pt idx="21">
                  <c:v>0.17501127604110828</c:v>
                </c:pt>
                <c:pt idx="22">
                  <c:v>1.9451054360011877</c:v>
                </c:pt>
                <c:pt idx="23">
                  <c:v>3.5795366350006277</c:v>
                </c:pt>
                <c:pt idx="24">
                  <c:v>5.0795395125734784</c:v>
                </c:pt>
                <c:pt idx="25">
                  <c:v>6.4449143184808761</c:v>
                </c:pt>
                <c:pt idx="26">
                  <c:v>7.6741271349546745</c:v>
                </c:pt>
                <c:pt idx="27">
                  <c:v>8.7644028761731523</c:v>
                </c:pt>
                <c:pt idx="28">
                  <c:v>9.711819940577417</c:v>
                </c:pt>
                <c:pt idx="29">
                  <c:v>10.511417264313531</c:v>
                </c:pt>
                <c:pt idx="30">
                  <c:v>11.15732682794104</c:v>
                </c:pt>
                <c:pt idx="31">
                  <c:v>11.642947352255208</c:v>
                </c:pt>
                <c:pt idx="32">
                  <c:v>11.961177751344763</c:v>
                </c:pt>
                <c:pt idx="33">
                  <c:v>12.104731381133385</c:v>
                </c:pt>
                <c:pt idx="34">
                  <c:v>12.066553311121167</c:v>
                </c:pt>
                <c:pt idx="35">
                  <c:v>11.840361302402135</c:v>
                </c:pt>
                <c:pt idx="36">
                  <c:v>11.421324855799805</c:v>
                </c:pt>
                <c:pt idx="37">
                  <c:v>10.80688313398532</c:v>
                </c:pt>
                <c:pt idx="38">
                  <c:v>9.997679447540655</c:v>
                </c:pt>
                <c:pt idx="39">
                  <c:v>8.9985563691375283</c:v>
                </c:pt>
                <c:pt idx="40">
                  <c:v>7.8195136534823444</c:v>
                </c:pt>
                <c:pt idx="41">
                  <c:v>6.4764884960495124</c:v>
                </c:pt>
                <c:pt idx="42">
                  <c:v>4.9917879936637872</c:v>
                </c:pt>
                <c:pt idx="43">
                  <c:v>3.3940049414170459</c:v>
                </c:pt>
                <c:pt idx="44">
                  <c:v>1.7172960610159833</c:v>
                </c:pt>
                <c:pt idx="45">
                  <c:v>3.0256825751395592E-15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D10-43EB-A20D-80A41E0F4C79}"/>
            </c:ext>
          </c:extLst>
        </c:ser>
        <c:ser>
          <c:idx val="5"/>
          <c:order val="5"/>
          <c:tx>
            <c:strRef>
              <c:f>xliv!$N$3</c:f>
              <c:strCache>
                <c:ptCount val="1"/>
                <c:pt idx="0">
                  <c:v>Ma = 1,6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xliv!$O$5:$O$50</c:f>
              <c:numCache>
                <c:formatCode>0.000</c:formatCode>
                <c:ptCount val="46"/>
                <c:pt idx="19">
                  <c:v>-0.70124285966229927</c:v>
                </c:pt>
                <c:pt idx="20">
                  <c:v>1.3075420262631845</c:v>
                </c:pt>
                <c:pt idx="21">
                  <c:v>3.1765359436488692</c:v>
                </c:pt>
                <c:pt idx="22">
                  <c:v>4.9100538315873834</c:v>
                </c:pt>
                <c:pt idx="23">
                  <c:v>6.5105597599862914</c:v>
                </c:pt>
                <c:pt idx="24">
                  <c:v>7.9788162761348236</c:v>
                </c:pt>
                <c:pt idx="25">
                  <c:v>9.3140009827086647</c:v>
                </c:pt>
                <c:pt idx="26">
                  <c:v>10.513798501287724</c:v>
                </c:pt>
                <c:pt idx="27">
                  <c:v>11.574476735739823</c:v>
                </c:pt>
                <c:pt idx="28">
                  <c:v>12.490957661406059</c:v>
                </c:pt>
                <c:pt idx="29">
                  <c:v>13.256894916765331</c:v>
                </c:pt>
                <c:pt idx="30">
                  <c:v>13.864773405128686</c:v>
                </c:pt>
                <c:pt idx="31">
                  <c:v>14.306049984872201</c:v>
                </c:pt>
                <c:pt idx="32">
                  <c:v>14.571359033173474</c:v>
                </c:pt>
                <c:pt idx="33">
                  <c:v>14.650811791958564</c:v>
                </c:pt>
                <c:pt idx="34">
                  <c:v>14.534422985880186</c:v>
                </c:pt>
                <c:pt idx="35">
                  <c:v>14.212700440584941</c:v>
                </c:pt>
                <c:pt idx="36">
                  <c:v>13.677430385135056</c:v>
                </c:pt>
                <c:pt idx="37">
                  <c:v>12.922678601796028</c:v>
                </c:pt>
                <c:pt idx="38">
                  <c:v>11.946000586121617</c:v>
                </c:pt>
                <c:pt idx="39">
                  <c:v>10.749808130282821</c:v>
                </c:pt>
                <c:pt idx="40">
                  <c:v>9.3427748406696445</c:v>
                </c:pt>
                <c:pt idx="41">
                  <c:v>7.7410870572286195</c:v>
                </c:pt>
                <c:pt idx="42">
                  <c:v>5.9692800099704746</c:v>
                </c:pt>
                <c:pt idx="43">
                  <c:v>4.060374582771642</c:v>
                </c:pt>
                <c:pt idx="44">
                  <c:v>2.0550830196160579</c:v>
                </c:pt>
                <c:pt idx="45">
                  <c:v>3.6212137486590931E-15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D10-43EB-A20D-80A41E0F4C79}"/>
            </c:ext>
          </c:extLst>
        </c:ser>
        <c:ser>
          <c:idx val="6"/>
          <c:order val="6"/>
          <c:tx>
            <c:strRef>
              <c:f>xliv!$P$3</c:f>
              <c:strCache>
                <c:ptCount val="1"/>
                <c:pt idx="0">
                  <c:v>Ma = 1,7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xliv!$Q$5:$Q$50</c:f>
              <c:numCache>
                <c:formatCode>0.000</c:formatCode>
                <c:ptCount val="46"/>
                <c:pt idx="18">
                  <c:v>-3.476614813455061E-2</c:v>
                </c:pt>
                <c:pt idx="19">
                  <c:v>2.0740231073108251</c:v>
                </c:pt>
                <c:pt idx="20">
                  <c:v>4.0410760342115353</c:v>
                </c:pt>
                <c:pt idx="21">
                  <c:v>5.8726026476943431</c:v>
                </c:pt>
                <c:pt idx="22">
                  <c:v>7.5726401728766604</c:v>
                </c:pt>
                <c:pt idx="23">
                  <c:v>9.1432623223615419</c:v>
                </c:pt>
                <c:pt idx="24">
                  <c:v>10.584734753908426</c:v>
                </c:pt>
                <c:pt idx="25">
                  <c:v>11.895626968319977</c:v>
                </c:pt>
                <c:pt idx="26">
                  <c:v>13.072890356669818</c:v>
                </c:pt>
                <c:pt idx="27">
                  <c:v>14.111912225955278</c:v>
                </c:pt>
                <c:pt idx="28">
                  <c:v>15.006556631904202</c:v>
                </c:pt>
                <c:pt idx="29">
                  <c:v>15.749204942423187</c:v>
                </c:pt>
                <c:pt idx="30">
                  <c:v>16.330812476654053</c:v>
                </c:pt>
                <c:pt idx="31">
                  <c:v>16.74100253098943</c:v>
                </c:pt>
                <c:pt idx="32">
                  <c:v>16.968225731430159</c:v>
                </c:pt>
                <c:pt idx="33">
                  <c:v>17.000020776248057</c:v>
                </c:pt>
                <c:pt idx="34">
                  <c:v>16.823421489296766</c:v>
                </c:pt>
                <c:pt idx="35">
                  <c:v>16.425562834659278</c:v>
                </c:pt>
                <c:pt idx="36">
                  <c:v>15.794541546103645</c:v>
                </c:pt>
                <c:pt idx="37">
                  <c:v>14.920579326134893</c:v>
                </c:pt>
                <c:pt idx="38">
                  <c:v>13.797509721376144</c:v>
                </c:pt>
                <c:pt idx="39">
                  <c:v>12.424554272750379</c:v>
                </c:pt>
                <c:pt idx="40">
                  <c:v>10.808263077306126</c:v>
                </c:pt>
                <c:pt idx="41">
                  <c:v>8.9643744153827019</c:v>
                </c:pt>
                <c:pt idx="42">
                  <c:v>6.9192237769347757</c:v>
                </c:pt>
                <c:pt idx="43">
                  <c:v>4.7102571512720495</c:v>
                </c:pt>
                <c:pt idx="44">
                  <c:v>2.3852449721720532</c:v>
                </c:pt>
                <c:pt idx="45">
                  <c:v>4.2037430150418051E-15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D10-43EB-A20D-80A41E0F4C79}"/>
            </c:ext>
          </c:extLst>
        </c:ser>
        <c:ser>
          <c:idx val="7"/>
          <c:order val="7"/>
          <c:tx>
            <c:strRef>
              <c:f>xliv!$R$3</c:f>
              <c:strCache>
                <c:ptCount val="1"/>
                <c:pt idx="0">
                  <c:v>Ma = 1,8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xliv!$S$5:$S$50</c:f>
              <c:numCache>
                <c:formatCode>0.000</c:formatCode>
                <c:ptCount val="46"/>
                <c:pt idx="16">
                  <c:v>-2.0772111926633001</c:v>
                </c:pt>
                <c:pt idx="17">
                  <c:v>0.28799301549774053</c:v>
                </c:pt>
                <c:pt idx="18">
                  <c:v>2.4967932798470045</c:v>
                </c:pt>
                <c:pt idx="19">
                  <c:v>4.5606112945213351</c:v>
                </c:pt>
                <c:pt idx="20">
                  <c:v>6.4879229558024827</c:v>
                </c:pt>
                <c:pt idx="21">
                  <c:v>8.2846548867306975</c:v>
                </c:pt>
                <c:pt idx="22">
                  <c:v>9.954483659896967</c:v>
                </c:pt>
                <c:pt idx="23">
                  <c:v>11.49905552747634</c:v>
                </c:pt>
                <c:pt idx="24">
                  <c:v>12.918141321941373</c:v>
                </c:pt>
                <c:pt idx="25">
                  <c:v>14.20973875744073</c:v>
                </c:pt>
                <c:pt idx="26">
                  <c:v>15.370132806396432</c:v>
                </c:pt>
                <c:pt idx="27">
                  <c:v>16.393924272181561</c:v>
                </c:pt>
                <c:pt idx="28">
                  <c:v>17.274037284661144</c:v>
                </c:pt>
                <c:pt idx="29">
                  <c:v>18.001718444477497</c:v>
                </c:pt>
                <c:pt idx="30">
                  <c:v>18.566544060330354</c:v>
                </c:pt>
                <c:pt idx="31">
                  <c:v>18.956457764943362</c:v>
                </c:pt>
                <c:pt idx="32">
                  <c:v>19.157869168924751</c:v>
                </c:pt>
                <c:pt idx="33">
                  <c:v>19.155855350338811</c:v>
                </c:pt>
                <c:pt idx="34">
                  <c:v>18.934520567101412</c:v>
                </c:pt>
                <c:pt idx="35">
                  <c:v>18.477584090204466</c:v>
                </c:pt>
                <c:pt idx="36">
                  <c:v>17.769277697913399</c:v>
                </c:pt>
                <c:pt idx="37">
                  <c:v>16.795635741456245</c:v>
                </c:pt>
                <c:pt idx="38">
                  <c:v>15.546239639670416</c:v>
                </c:pt>
                <c:pt idx="39">
                  <c:v>14.016418761681265</c:v>
                </c:pt>
                <c:pt idx="40">
                  <c:v>12.209794876884571</c:v>
                </c:pt>
                <c:pt idx="41">
                  <c:v>10.140883829204423</c:v>
                </c:pt>
                <c:pt idx="42">
                  <c:v>7.83726311056013</c:v>
                </c:pt>
                <c:pt idx="43">
                  <c:v>5.3406531494289773</c:v>
                </c:pt>
                <c:pt idx="44">
                  <c:v>2.7062607238194851</c:v>
                </c:pt>
                <c:pt idx="45">
                  <c:v>4.7705907786666459E-15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D10-43EB-A20D-80A41E0F4C79}"/>
            </c:ext>
          </c:extLst>
        </c:ser>
        <c:ser>
          <c:idx val="8"/>
          <c:order val="8"/>
          <c:tx>
            <c:strRef>
              <c:f>xliv!$T$3</c:f>
              <c:strCache>
                <c:ptCount val="1"/>
                <c:pt idx="0">
                  <c:v>Ma = 1,9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xliv!$U$5:$U$50</c:f>
              <c:numCache>
                <c:formatCode>0.000</c:formatCode>
                <c:ptCount val="46"/>
                <c:pt idx="15">
                  <c:v>-2.183347600831683</c:v>
                </c:pt>
                <c:pt idx="16">
                  <c:v>0.29174951184248993</c:v>
                </c:pt>
                <c:pt idx="17">
                  <c:v>2.6019220081333687</c:v>
                </c:pt>
                <c:pt idx="18">
                  <c:v>4.761929956387279</c:v>
                </c:pt>
                <c:pt idx="19">
                  <c:v>6.782942444036923</c:v>
                </c:pt>
                <c:pt idx="20">
                  <c:v>8.673106102860265</c:v>
                </c:pt>
                <c:pt idx="21">
                  <c:v>10.437971476874884</c:v>
                </c:pt>
                <c:pt idx="22">
                  <c:v>12.080806223792015</c:v>
                </c:pt>
                <c:pt idx="23">
                  <c:v>13.602817619419611</c:v>
                </c:pt>
                <c:pt idx="24">
                  <c:v>15.003301702140751</c:v>
                </c:pt>
                <c:pt idx="25">
                  <c:v>16.279732623436594</c:v>
                </c:pt>
                <c:pt idx="26">
                  <c:v>17.427803288406238</c:v>
                </c:pt>
                <c:pt idx="27">
                  <c:v>18.441427162564281</c:v>
                </c:pt>
                <c:pt idx="28">
                  <c:v>19.3127112836885</c:v>
                </c:pt>
                <c:pt idx="29">
                  <c:v>20.031912291928666</c:v>
                </c:pt>
                <c:pt idx="30">
                  <c:v>20.587391091594025</c:v>
                </c:pt>
                <c:pt idx="31">
                  <c:v>20.965588178847344</c:v>
                </c:pt>
                <c:pt idx="32">
                  <c:v>21.151051449441123</c:v>
                </c:pt>
                <c:pt idx="33">
                  <c:v>21.126562175063523</c:v>
                </c:pt>
                <c:pt idx="34">
                  <c:v>20.873423166902295</c:v>
                </c:pt>
                <c:pt idx="35">
                  <c:v>20.371995139671021</c:v>
                </c:pt>
                <c:pt idx="36">
                  <c:v>19.602589593666799</c:v>
                </c:pt>
                <c:pt idx="37">
                  <c:v>18.546841042830884</c:v>
                </c:pt>
                <c:pt idx="38">
                  <c:v>17.189672660851421</c:v>
                </c:pt>
                <c:pt idx="39">
                  <c:v>15.521913096730719</c:v>
                </c:pt>
                <c:pt idx="40">
                  <c:v>13.543488778628248</c:v>
                </c:pt>
                <c:pt idx="41">
                  <c:v>11.266885448494815</c:v>
                </c:pt>
                <c:pt idx="42">
                  <c:v>8.7202647850115476</c:v>
                </c:pt>
                <c:pt idx="43">
                  <c:v>5.94933381481954</c:v>
                </c:pt>
                <c:pt idx="44">
                  <c:v>3.016979855470419</c:v>
                </c:pt>
                <c:pt idx="45">
                  <c:v>5.3197192592871826E-15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D10-43EB-A20D-80A41E0F4C79}"/>
            </c:ext>
          </c:extLst>
        </c:ser>
        <c:ser>
          <c:idx val="9"/>
          <c:order val="9"/>
          <c:tx>
            <c:strRef>
              <c:f>xliv!$V$3</c:f>
              <c:strCache>
                <c:ptCount val="1"/>
                <c:pt idx="0">
                  <c:v>Ma = 2,0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xliv!$W$5:$W$50</c:f>
              <c:numCache>
                <c:formatCode>0.000</c:formatCode>
                <c:ptCount val="46"/>
                <c:pt idx="14">
                  <c:v>-2.5919636771181489</c:v>
                </c:pt>
                <c:pt idx="15">
                  <c:v>-4.5907352537882144E-15</c:v>
                </c:pt>
                <c:pt idx="16">
                  <c:v>2.4151645221749249</c:v>
                </c:pt>
                <c:pt idx="17">
                  <c:v>4.6723933049052251</c:v>
                </c:pt>
                <c:pt idx="18">
                  <c:v>6.7860933655729427</c:v>
                </c:pt>
                <c:pt idx="19">
                  <c:v>8.7670259455793378</c:v>
                </c:pt>
                <c:pt idx="20">
                  <c:v>10.62290962494955</c:v>
                </c:pt>
                <c:pt idx="21">
                  <c:v>12.358863247182168</c:v>
                </c:pt>
                <c:pt idx="22">
                  <c:v>13.977723960027395</c:v>
                </c:pt>
                <c:pt idx="23">
                  <c:v>15.480266454847184</c:v>
                </c:pt>
                <c:pt idx="24">
                  <c:v>16.865342631164783</c:v>
                </c:pt>
                <c:pt idx="25">
                  <c:v>18.129955997645883</c:v>
                </c:pt>
                <c:pt idx="26">
                  <c:v>19.26928183437359</c:v>
                </c:pt>
                <c:pt idx="27">
                  <c:v>20.276642330975832</c:v>
                </c:pt>
                <c:pt idx="28">
                  <c:v>21.143445611008779</c:v>
                </c:pt>
                <c:pt idx="29">
                  <c:v>21.859098995149868</c:v>
                </c:pt>
                <c:pt idx="30">
                  <c:v>22.410910531025056</c:v>
                </c:pt>
                <c:pt idx="31">
                  <c:v>22.783999498369479</c:v>
                </c:pt>
                <c:pt idx="32">
                  <c:v>22.961247356333608</c:v>
                </c:pt>
                <c:pt idx="33">
                  <c:v>22.923336726499851</c:v>
                </c:pt>
                <c:pt idx="34">
                  <c:v>22.648948700487153</c:v>
                </c:pt>
                <c:pt idx="35">
                  <c:v>22.115218336813626</c:v>
                </c:pt>
                <c:pt idx="36">
                  <c:v>21.298582416985262</c:v>
                </c:pt>
                <c:pt idx="37">
                  <c:v>20.176184551535464</c:v>
                </c:pt>
                <c:pt idx="38">
                  <c:v>18.728012780470372</c:v>
                </c:pt>
                <c:pt idx="39">
                  <c:v>16.939901746124786</c:v>
                </c:pt>
                <c:pt idx="40">
                  <c:v>14.80738931855926</c:v>
                </c:pt>
                <c:pt idx="41">
                  <c:v>12.340131913667369</c:v>
                </c:pt>
                <c:pt idx="42">
                  <c:v>9.5661536240551097</c:v>
                </c:pt>
                <c:pt idx="43">
                  <c:v>6.5347424567475212</c:v>
                </c:pt>
                <c:pt idx="44">
                  <c:v>3.3165764570865539</c:v>
                </c:pt>
                <c:pt idx="45">
                  <c:v>5.8496529786031476E-15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D10-43EB-A20D-80A41E0F4C79}"/>
            </c:ext>
          </c:extLst>
        </c:ser>
        <c:ser>
          <c:idx val="10"/>
          <c:order val="10"/>
          <c:tx>
            <c:strRef>
              <c:f>xliv!$X$3</c:f>
              <c:strCache>
                <c:ptCount val="1"/>
                <c:pt idx="0">
                  <c:v>Ma = 2,1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xliv!$Y$5:$Y$50</c:f>
              <c:numCache>
                <c:formatCode>0.000</c:formatCode>
                <c:ptCount val="46"/>
                <c:pt idx="14">
                  <c:v>-0.5675372343722721</c:v>
                </c:pt>
                <c:pt idx="15">
                  <c:v>1.959351114933924</c:v>
                </c:pt>
                <c:pt idx="16">
                  <c:v>4.3171766944179071</c:v>
                </c:pt>
                <c:pt idx="17">
                  <c:v>6.5243241400097158</c:v>
                </c:pt>
                <c:pt idx="18">
                  <c:v>8.5946861418461236</c:v>
                </c:pt>
                <c:pt idx="19">
                  <c:v>10.538513886815483</c:v>
                </c:pt>
                <c:pt idx="20">
                  <c:v>12.363038602573472</c:v>
                </c:pt>
                <c:pt idx="21">
                  <c:v>14.072920119640793</c:v>
                </c:pt>
                <c:pt idx="22">
                  <c:v>15.670562591630963</c:v>
                </c:pt>
                <c:pt idx="23">
                  <c:v>17.156326030350627</c:v>
                </c:pt>
                <c:pt idx="24">
                  <c:v>18.528654052515233</c:v>
                </c:pt>
                <c:pt idx="25">
                  <c:v>19.784132394340137</c:v>
                </c:pt>
                <c:pt idx="26">
                  <c:v>20.917488796820592</c:v>
                </c:pt>
                <c:pt idx="27">
                  <c:v>21.921542518154403</c:v>
                </c:pt>
                <c:pt idx="28">
                  <c:v>22.787110956069728</c:v>
                </c:pt>
                <c:pt idx="29">
                  <c:v>23.502881891142721</c:v>
                </c:pt>
                <c:pt idx="30">
                  <c:v>24.055263233040435</c:v>
                </c:pt>
                <c:pt idx="31">
                  <c:v>24.428228788728251</c:v>
                </c:pt>
                <c:pt idx="32">
                  <c:v>24.603189856362444</c:v>
                </c:pt>
                <c:pt idx="33">
                  <c:v>24.558940233529874</c:v>
                </c:pt>
                <c:pt idx="34">
                  <c:v>24.271748642165299</c:v>
                </c:pt>
                <c:pt idx="35">
                  <c:v>23.715709306280225</c:v>
                </c:pt>
                <c:pt idx="36">
                  <c:v>22.86350794156013</c:v>
                </c:pt>
                <c:pt idx="37">
                  <c:v>21.687810302596478</c:v>
                </c:pt>
                <c:pt idx="38">
                  <c:v>20.163515085698499</c:v>
                </c:pt>
                <c:pt idx="39">
                  <c:v>18.271093462618047</c:v>
                </c:pt>
                <c:pt idx="40">
                  <c:v>16.001099769642071</c:v>
                </c:pt>
                <c:pt idx="41">
                  <c:v>13.359605600750772</c:v>
                </c:pt>
                <c:pt idx="42">
                  <c:v>10.373747459396849</c:v>
                </c:pt>
                <c:pt idx="43">
                  <c:v>7.0958957368622553</c:v>
                </c:pt>
                <c:pt idx="44">
                  <c:v>3.6045029769974879</c:v>
                </c:pt>
                <c:pt idx="45">
                  <c:v>6.3593995718501818E-15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ED10-43EB-A20D-80A41E0F4C79}"/>
            </c:ext>
          </c:extLst>
        </c:ser>
        <c:ser>
          <c:idx val="11"/>
          <c:order val="11"/>
          <c:tx>
            <c:strRef>
              <c:f>xliv!$Z$3</c:f>
              <c:strCache>
                <c:ptCount val="1"/>
                <c:pt idx="0">
                  <c:v>Ma = 2,2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xliv!$AA$5:$AA$50</c:f>
              <c:numCache>
                <c:formatCode>0.000</c:formatCode>
                <c:ptCount val="46"/>
                <c:pt idx="13">
                  <c:v>-1.3967366464840649</c:v>
                </c:pt>
                <c:pt idx="14">
                  <c:v>1.2526933154420714</c:v>
                </c:pt>
                <c:pt idx="15">
                  <c:v>3.7175739176335063</c:v>
                </c:pt>
                <c:pt idx="16">
                  <c:v>6.0213092895232245</c:v>
                </c:pt>
                <c:pt idx="17">
                  <c:v>8.1816367408709443</c:v>
                </c:pt>
                <c:pt idx="18">
                  <c:v>10.211829985248064</c:v>
                </c:pt>
                <c:pt idx="19">
                  <c:v>12.121569632515236</c:v>
                </c:pt>
                <c:pt idx="20">
                  <c:v>13.917570085526112</c:v>
                </c:pt>
                <c:pt idx="21">
                  <c:v>15.604025256068478</c:v>
                </c:pt>
                <c:pt idx="22">
                  <c:v>17.182916663207923</c:v>
                </c:pt>
                <c:pt idx="23">
                  <c:v>18.654214212187114</c:v>
                </c:pt>
                <c:pt idx="24">
                  <c:v>20.015990611796237</c:v>
                </c:pt>
                <c:pt idx="25">
                  <c:v>21.264463836250076</c:v>
                </c:pt>
                <c:pt idx="26">
                  <c:v>22.393977551059386</c:v>
                </c:pt>
                <c:pt idx="27">
                  <c:v>23.396926610747169</c:v>
                </c:pt>
                <c:pt idx="28">
                  <c:v>24.263633504748189</c:v>
                </c:pt>
                <c:pt idx="29">
                  <c:v>24.982182186925307</c:v>
                </c:pt>
                <c:pt idx="30">
                  <c:v>25.538218647292798</c:v>
                </c:pt>
                <c:pt idx="31">
                  <c:v>25.914733913321498</c:v>
                </c:pt>
                <c:pt idx="32">
                  <c:v>26.091856551956369</c:v>
                </c:pt>
                <c:pt idx="33">
                  <c:v>26.046700562960858</c:v>
                </c:pt>
                <c:pt idx="34">
                  <c:v>25.753343886401101</c:v>
                </c:pt>
                <c:pt idx="35">
                  <c:v>25.183055833563522</c:v>
                </c:pt>
                <c:pt idx="36">
                  <c:v>24.304950277865402</c:v>
                </c:pt>
                <c:pt idx="37">
                  <c:v>23.087311438653668</c:v>
                </c:pt>
                <c:pt idx="38">
                  <c:v>21.499902910218278</c:v>
                </c:pt>
                <c:pt idx="39">
                  <c:v>19.517584479572104</c:v>
                </c:pt>
                <c:pt idx="40">
                  <c:v>17.125443213094556</c:v>
                </c:pt>
                <c:pt idx="41">
                  <c:v>14.325280727966785</c:v>
                </c:pt>
                <c:pt idx="42">
                  <c:v>11.142600076585175</c:v>
                </c:pt>
                <c:pt idx="43">
                  <c:v>7.6322893861291661</c:v>
                </c:pt>
                <c:pt idx="44">
                  <c:v>3.8804461558682508</c:v>
                </c:pt>
                <c:pt idx="45">
                  <c:v>6.8483742188524674E-15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ED10-43EB-A20D-80A41E0F4C79}"/>
            </c:ext>
          </c:extLst>
        </c:ser>
        <c:ser>
          <c:idx val="12"/>
          <c:order val="12"/>
          <c:tx>
            <c:strRef>
              <c:f>xliv!$AB$3</c:f>
              <c:strCache>
                <c:ptCount val="1"/>
                <c:pt idx="0">
                  <c:v>Ma = 2,3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xliv!$AC$5:$AC$50</c:f>
              <c:numCache>
                <c:formatCode>0.000</c:formatCode>
                <c:ptCount val="46"/>
                <c:pt idx="12">
                  <c:v>-2.4806333036854857</c:v>
                </c:pt>
                <c:pt idx="13">
                  <c:v>0.30753829808395206</c:v>
                </c:pt>
                <c:pt idx="14">
                  <c:v>2.8899050847984884</c:v>
                </c:pt>
                <c:pt idx="15">
                  <c:v>5.2963952853290079</c:v>
                </c:pt>
                <c:pt idx="16">
                  <c:v>7.5496042006696653</c:v>
                </c:pt>
                <c:pt idx="17">
                  <c:v>9.6665138060076394</c:v>
                </c:pt>
                <c:pt idx="18">
                  <c:v>11.659718076615567</c:v>
                </c:pt>
                <c:pt idx="19">
                  <c:v>13.538297702034502</c:v>
                </c:pt>
                <c:pt idx="20">
                  <c:v>15.308442254497171</c:v>
                </c:pt>
                <c:pt idx="21">
                  <c:v>16.973886781426817</c:v>
                </c:pt>
                <c:pt idx="22">
                  <c:v>18.536208567360262</c:v>
                </c:pt>
                <c:pt idx="23">
                  <c:v>19.995015221651983</c:v>
                </c:pt>
                <c:pt idx="24">
                  <c:v>21.348045124615965</c:v>
                </c:pt>
                <c:pt idx="25">
                  <c:v>22.591194193119492</c:v>
                </c:pt>
                <c:pt idx="26">
                  <c:v>23.718478027829622</c:v>
                </c:pt>
                <c:pt idx="27">
                  <c:v>24.721935295800368</c:v>
                </c:pt>
                <c:pt idx="28">
                  <c:v>25.591476534230097</c:v>
                </c:pt>
                <c:pt idx="29">
                  <c:v>26.314682619004255</c:v>
                </c:pt>
                <c:pt idx="30">
                  <c:v>26.876559511505505</c:v>
                </c:pt>
                <c:pt idx="31">
                  <c:v>27.259261703097515</c:v>
                </c:pt>
                <c:pt idx="32">
                  <c:v>27.441807884666186</c:v>
                </c:pt>
                <c:pt idx="33">
                  <c:v>27.399831627984256</c:v>
                </c:pt>
                <c:pt idx="34">
                  <c:v>27.105441265203776</c:v>
                </c:pt>
                <c:pt idx="35">
                  <c:v>26.527311552178901</c:v>
                </c:pt>
                <c:pt idx="36">
                  <c:v>25.631199352376928</c:v>
                </c:pt>
                <c:pt idx="37">
                  <c:v>24.381165887280556</c:v>
                </c:pt>
                <c:pt idx="38">
                  <c:v>22.741884201774031</c:v>
                </c:pt>
                <c:pt idx="39">
                  <c:v>20.682466450389406</c:v>
                </c:pt>
                <c:pt idx="40">
                  <c:v>18.182163121512964</c:v>
                </c:pt>
                <c:pt idx="41">
                  <c:v>15.237908511397025</c:v>
                </c:pt>
                <c:pt idx="42">
                  <c:v>11.872857377171382</c:v>
                </c:pt>
                <c:pt idx="43">
                  <c:v>8.1438112788029784</c:v>
                </c:pt>
                <c:pt idx="44">
                  <c:v>4.1442863193881987</c:v>
                </c:pt>
                <c:pt idx="45">
                  <c:v>7.3163298187193888E-15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ED10-43EB-A20D-80A41E0F4C79}"/>
            </c:ext>
          </c:extLst>
        </c:ser>
        <c:ser>
          <c:idx val="13"/>
          <c:order val="13"/>
          <c:tx>
            <c:strRef>
              <c:f>xliv!$AD$3</c:f>
              <c:strCache>
                <c:ptCount val="1"/>
                <c:pt idx="0">
                  <c:v>Ma = 2,4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xliv!$AE$5:$AE$50</c:f>
              <c:numCache>
                <c:formatCode>0.000</c:formatCode>
                <c:ptCount val="46"/>
                <c:pt idx="12">
                  <c:v>-0.87084043548713053</c:v>
                </c:pt>
                <c:pt idx="13">
                  <c:v>1.8446463966274051</c:v>
                </c:pt>
                <c:pt idx="14">
                  <c:v>4.363907407214036</c:v>
                </c:pt>
                <c:pt idx="15">
                  <c:v>6.7158669789983625</c:v>
                </c:pt>
                <c:pt idx="16">
                  <c:v>8.9221972118731578</c:v>
                </c:pt>
                <c:pt idx="17">
                  <c:v>10.99906326484988</c:v>
                </c:pt>
                <c:pt idx="18">
                  <c:v>12.958351217055212</c:v>
                </c:pt>
                <c:pt idx="19">
                  <c:v>14.80853486222458</c:v>
                </c:pt>
                <c:pt idx="20">
                  <c:v>16.55528570720805</c:v>
                </c:pt>
                <c:pt idx="21">
                  <c:v>18.201896016367684</c:v>
                </c:pt>
                <c:pt idx="22">
                  <c:v>19.749561797194421</c:v>
                </c:pt>
                <c:pt idx="23">
                  <c:v>21.197557115464718</c:v>
                </c:pt>
                <c:pt idx="24">
                  <c:v>22.54332047663949</c:v>
                </c:pt>
                <c:pt idx="25">
                  <c:v>23.782466581531047</c:v>
                </c:pt>
                <c:pt idx="26">
                  <c:v>24.908731556897276</c:v>
                </c:pt>
                <c:pt idx="27">
                  <c:v>25.913856218821728</c:v>
                </c:pt>
                <c:pt idx="28">
                  <c:v>26.787409849924867</c:v>
                </c:pt>
                <c:pt idx="29">
                  <c:v>27.516556515012212</c:v>
                </c:pt>
                <c:pt idx="30">
                  <c:v>28.085767685357013</c:v>
                </c:pt>
                <c:pt idx="31">
                  <c:v>28.476490061823224</c:v>
                </c:pt>
                <c:pt idx="32">
                  <c:v>28.666788009861168</c:v>
                </c:pt>
                <c:pt idx="33">
                  <c:v>28.63099918879286</c:v>
                </c:pt>
                <c:pt idx="34">
                  <c:v>28.33947459706534</c:v>
                </c:pt>
                <c:pt idx="35">
                  <c:v>27.758526823203692</c:v>
                </c:pt>
                <c:pt idx="36">
                  <c:v>26.850789801434978</c:v>
                </c:pt>
                <c:pt idx="37">
                  <c:v>25.576303329258877</c:v>
                </c:pt>
                <c:pt idx="38">
                  <c:v>23.894765642866481</c:v>
                </c:pt>
                <c:pt idx="39">
                  <c:v>21.769502307871072</c:v>
                </c:pt>
                <c:pt idx="40">
                  <c:v>19.173668077756396</c:v>
                </c:pt>
                <c:pt idx="41">
                  <c:v>16.098829483124636</c:v>
                </c:pt>
                <c:pt idx="42">
                  <c:v>12.5651296195461</c:v>
                </c:pt>
                <c:pt idx="43">
                  <c:v>8.6306635092292279</c:v>
                </c:pt>
                <c:pt idx="44">
                  <c:v>4.3960607480550555</c:v>
                </c:pt>
                <c:pt idx="45">
                  <c:v>7.7632941017149584E-15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ED10-43EB-A20D-80A41E0F4C79}"/>
            </c:ext>
          </c:extLst>
        </c:ser>
        <c:ser>
          <c:idx val="14"/>
          <c:order val="14"/>
          <c:tx>
            <c:strRef>
              <c:f>xliv!$AF$3</c:f>
              <c:strCache>
                <c:ptCount val="1"/>
                <c:pt idx="0">
                  <c:v>Ma = 3,0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xliv!$AG$5:$AG$50</c:f>
              <c:numCache>
                <c:formatCode>0.000</c:formatCode>
                <c:ptCount val="46"/>
                <c:pt idx="9">
                  <c:v>-2.2646067618488663</c:v>
                </c:pt>
                <c:pt idx="10">
                  <c:v>0.7733374306890366</c:v>
                </c:pt>
                <c:pt idx="11">
                  <c:v>3.534688416729086</c:v>
                </c:pt>
                <c:pt idx="12">
                  <c:v>6.0789987453637284</c:v>
                </c:pt>
                <c:pt idx="13">
                  <c:v>8.4482465041519621</c:v>
                </c:pt>
                <c:pt idx="14">
                  <c:v>10.672499438762152</c:v>
                </c:pt>
                <c:pt idx="15">
                  <c:v>12.773507079243728</c:v>
                </c:pt>
                <c:pt idx="16">
                  <c:v>14.767035649319535</c:v>
                </c:pt>
                <c:pt idx="17">
                  <c:v>16.664416671372972</c:v>
                </c:pt>
                <c:pt idx="18">
                  <c:v>18.473588942880223</c:v>
                </c:pt>
                <c:pt idx="19">
                  <c:v>20.199804109746729</c:v>
                </c:pt>
                <c:pt idx="20">
                  <c:v>21.846101578953139</c:v>
                </c:pt>
                <c:pt idx="21">
                  <c:v>23.413619392463008</c:v>
                </c:pt>
                <c:pt idx="22">
                  <c:v>24.901783208343105</c:v>
                </c:pt>
                <c:pt idx="23">
                  <c:v>26.308399683177818</c:v>
                </c:pt>
                <c:pt idx="24">
                  <c:v>27.62966984857313</c:v>
                </c:pt>
                <c:pt idx="25">
                  <c:v>28.860130468528837</c:v>
                </c:pt>
                <c:pt idx="26">
                  <c:v>29.992525615580348</c:v>
                </c:pt>
                <c:pt idx="27">
                  <c:v>31.01760607409221</c:v>
                </c:pt>
                <c:pt idx="28">
                  <c:v>31.92385028170478</c:v>
                </c:pt>
                <c:pt idx="29">
                  <c:v>32.697097286987635</c:v>
                </c:pt>
                <c:pt idx="30">
                  <c:v>33.320079969325953</c:v>
                </c:pt>
                <c:pt idx="31">
                  <c:v>33.771846515158458</c:v>
                </c:pt>
                <c:pt idx="32">
                  <c:v>34.02706197423943</c:v>
                </c:pt>
                <c:pt idx="33">
                  <c:v>34.055193724124422</c:v>
                </c:pt>
                <c:pt idx="34">
                  <c:v>33.819612408113336</c:v>
                </c:pt>
                <c:pt idx="35">
                  <c:v>33.276696666973699</c:v>
                </c:pt>
                <c:pt idx="36">
                  <c:v>32.37513763810361</c:v>
                </c:pt>
                <c:pt idx="37">
                  <c:v>31.055829996393204</c:v>
                </c:pt>
                <c:pt idx="38">
                  <c:v>29.253047480514802</c:v>
                </c:pt>
                <c:pt idx="39">
                  <c:v>26.898045827027026</c:v>
                </c:pt>
                <c:pt idx="40">
                  <c:v>23.926719962840963</c:v>
                </c:pt>
                <c:pt idx="41">
                  <c:v>20.293086433695706</c:v>
                </c:pt>
                <c:pt idx="42">
                  <c:v>15.989294432214422</c:v>
                </c:pt>
                <c:pt idx="43">
                  <c:v>11.069382228850216</c:v>
                </c:pt>
                <c:pt idx="44">
                  <c:v>5.6679508948909509</c:v>
                </c:pt>
                <c:pt idx="45">
                  <c:v>1.0027976534748254E-14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ED10-43EB-A20D-80A41E0F4C79}"/>
            </c:ext>
          </c:extLst>
        </c:ser>
        <c:ser>
          <c:idx val="15"/>
          <c:order val="15"/>
          <c:tx>
            <c:strRef>
              <c:f>xliv!$AH$3</c:f>
              <c:strCache>
                <c:ptCount val="1"/>
                <c:pt idx="0">
                  <c:v>Ma = 4,0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xliv!$AI$5:$AI$50</c:f>
              <c:numCache>
                <c:formatCode>0.000</c:formatCode>
                <c:ptCount val="46"/>
                <c:pt idx="7">
                  <c:v>-0.75842875009769539</c:v>
                </c:pt>
                <c:pt idx="8">
                  <c:v>2.268204181949427</c:v>
                </c:pt>
                <c:pt idx="9">
                  <c:v>4.9725866802288277</c:v>
                </c:pt>
                <c:pt idx="10">
                  <c:v>7.4442202942514388</c:v>
                </c:pt>
                <c:pt idx="11">
                  <c:v>9.740686128627452</c:v>
                </c:pt>
                <c:pt idx="12">
                  <c:v>11.900359748921224</c:v>
                </c:pt>
                <c:pt idx="13">
                  <c:v>13.949488226492578</c:v>
                </c:pt>
                <c:pt idx="14">
                  <c:v>15.906326083247601</c:v>
                </c:pt>
                <c:pt idx="15">
                  <c:v>17.783651160272733</c:v>
                </c:pt>
                <c:pt idx="16">
                  <c:v>19.590344778521498</c:v>
                </c:pt>
                <c:pt idx="17">
                  <c:v>21.332408040576237</c:v>
                </c:pt>
                <c:pt idx="18">
                  <c:v>23.013624595987885</c:v>
                </c:pt>
                <c:pt idx="19">
                  <c:v>24.635992789670198</c:v>
                </c:pt>
                <c:pt idx="20">
                  <c:v>26.200000785167244</c:v>
                </c:pt>
                <c:pt idx="21">
                  <c:v>27.704789252244233</c:v>
                </c:pt>
                <c:pt idx="22">
                  <c:v>29.148228394515968</c:v>
                </c:pt>
                <c:pt idx="23">
                  <c:v>30.526924562361035</c:v>
                </c:pt>
                <c:pt idx="24">
                  <c:v>31.836163699043933</c:v>
                </c:pt>
                <c:pt idx="25">
                  <c:v>33.06979278350267</c:v>
                </c:pt>
                <c:pt idx="26">
                  <c:v>34.220035245836051</c:v>
                </c:pt>
                <c:pt idx="27">
                  <c:v>35.277231354299566</c:v>
                </c:pt>
                <c:pt idx="28">
                  <c:v>36.229489308186707</c:v>
                </c:pt>
                <c:pt idx="29">
                  <c:v>37.062226862999694</c:v>
                </c:pt>
                <c:pt idx="30">
                  <c:v>37.75757659142036</c:v>
                </c:pt>
                <c:pt idx="31">
                  <c:v>38.29362054570295</c:v>
                </c:pt>
                <c:pt idx="32">
                  <c:v>38.643413162111443</c:v>
                </c:pt>
                <c:pt idx="33">
                  <c:v>38.773747589832773</c:v>
                </c:pt>
                <c:pt idx="34">
                  <c:v>38.643626992091072</c:v>
                </c:pt>
                <c:pt idx="35">
                  <c:v>38.202433565832955</c:v>
                </c:pt>
                <c:pt idx="36">
                  <c:v>37.387874774338336</c:v>
                </c:pt>
                <c:pt idx="37">
                  <c:v>36.12398866515958</c:v>
                </c:pt>
                <c:pt idx="38">
                  <c:v>34.319915929805639</c:v>
                </c:pt>
                <c:pt idx="39">
                  <c:v>31.870959203168354</c:v>
                </c:pt>
                <c:pt idx="40">
                  <c:v>28.664803985351135</c:v>
                </c:pt>
                <c:pt idx="41">
                  <c:v>24.597496441145584</c:v>
                </c:pt>
                <c:pt idx="42">
                  <c:v>19.604489236052679</c:v>
                </c:pt>
                <c:pt idx="43">
                  <c:v>13.707954849090314</c:v>
                </c:pt>
                <c:pt idx="44">
                  <c:v>7.0674524836895971</c:v>
                </c:pt>
                <c:pt idx="45">
                  <c:v>1.2534970668435317E-14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ED10-43EB-A20D-80A41E0F4C79}"/>
            </c:ext>
          </c:extLst>
        </c:ser>
        <c:ser>
          <c:idx val="16"/>
          <c:order val="16"/>
          <c:tx>
            <c:strRef>
              <c:f>xliv!$AJ$3</c:f>
              <c:strCache>
                <c:ptCount val="1"/>
                <c:pt idx="0">
                  <c:v>Ma = 5,0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xliv!$AK$5:$AK$50</c:f>
              <c:numCache>
                <c:formatCode>0.000</c:formatCode>
                <c:ptCount val="46"/>
                <c:pt idx="5">
                  <c:v>-2.6426464548832755</c:v>
                </c:pt>
                <c:pt idx="6">
                  <c:v>0.72685635637554979</c:v>
                </c:pt>
                <c:pt idx="7">
                  <c:v>3.5986722802029893</c:v>
                </c:pt>
                <c:pt idx="8">
                  <c:v>6.1518134314651336</c:v>
                </c:pt>
                <c:pt idx="9">
                  <c:v>8.4871378814573664</c:v>
                </c:pt>
                <c:pt idx="10">
                  <c:v>10.665388381092498</c:v>
                </c:pt>
                <c:pt idx="11">
                  <c:v>12.72500774260846</c:v>
                </c:pt>
                <c:pt idx="12">
                  <c:v>14.691220207656798</c:v>
                </c:pt>
                <c:pt idx="13">
                  <c:v>16.580981429856305</c:v>
                </c:pt>
                <c:pt idx="14">
                  <c:v>18.40582495670219</c:v>
                </c:pt>
                <c:pt idx="15">
                  <c:v>20.173570184167716</c:v>
                </c:pt>
                <c:pt idx="16">
                  <c:v>21.889380939370991</c:v>
                </c:pt>
                <c:pt idx="17">
                  <c:v>23.556435951805963</c:v>
                </c:pt>
                <c:pt idx="18">
                  <c:v>25.176356845098525</c:v>
                </c:pt>
                <c:pt idx="19">
                  <c:v>26.749477565308538</c:v>
                </c:pt>
                <c:pt idx="20">
                  <c:v>28.275004645701493</c:v>
                </c:pt>
                <c:pt idx="21">
                  <c:v>29.751097479357135</c:v>
                </c:pt>
                <c:pt idx="22">
                  <c:v>31.174885272092933</c:v>
                </c:pt>
                <c:pt idx="23">
                  <c:v>32.542429083367615</c:v>
                </c:pt>
                <c:pt idx="24">
                  <c:v>33.848631365949601</c:v>
                </c:pt>
                <c:pt idx="25">
                  <c:v>35.087090500245878</c:v>
                </c:pt>
                <c:pt idx="26">
                  <c:v>36.249893195949056</c:v>
                </c:pt>
                <c:pt idx="27">
                  <c:v>37.327332699847993</c:v>
                </c:pt>
                <c:pt idx="28">
                  <c:v>38.307534974798152</c:v>
                </c:pt>
                <c:pt idx="29">
                  <c:v>39.175967887656014</c:v>
                </c:pt>
                <c:pt idx="30">
                  <c:v>39.914799470761288</c:v>
                </c:pt>
                <c:pt idx="31">
                  <c:v>40.50206014106049</c:v>
                </c:pt>
                <c:pt idx="32">
                  <c:v>40.910550483785215</c:v>
                </c:pt>
                <c:pt idx="33">
                  <c:v>41.106422271217944</c:v>
                </c:pt>
                <c:pt idx="34">
                  <c:v>41.047350553685689</c:v>
                </c:pt>
                <c:pt idx="35">
                  <c:v>40.680221487919169</c:v>
                </c:pt>
                <c:pt idx="36">
                  <c:v>39.938314019289294</c:v>
                </c:pt>
                <c:pt idx="37">
                  <c:v>38.738120442622552</c:v>
                </c:pt>
                <c:pt idx="38">
                  <c:v>36.976370272454552</c:v>
                </c:pt>
                <c:pt idx="39">
                  <c:v>34.528753801438647</c:v>
                </c:pt>
                <c:pt idx="40">
                  <c:v>31.253674988682487</c:v>
                </c:pt>
                <c:pt idx="41">
                  <c:v>27.007340822056744</c:v>
                </c:pt>
                <c:pt idx="42">
                  <c:v>21.679499169988304</c:v>
                </c:pt>
                <c:pt idx="43">
                  <c:v>15.25682855442059</c:v>
                </c:pt>
                <c:pt idx="44">
                  <c:v>7.9022479069599054</c:v>
                </c:pt>
                <c:pt idx="45">
                  <c:v>1.4039167148647556E-14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ED10-43EB-A20D-80A41E0F4C79}"/>
            </c:ext>
          </c:extLst>
        </c:ser>
        <c:ser>
          <c:idx val="17"/>
          <c:order val="17"/>
          <c:tx>
            <c:strRef>
              <c:f>xliv!$AL$3</c:f>
              <c:strCache>
                <c:ptCount val="1"/>
                <c:pt idx="0">
                  <c:v>Ma = 10,0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xliv!$AM$5:$AM$50</c:f>
              <c:numCache>
                <c:formatCode>0.000</c:formatCode>
                <c:ptCount val="46"/>
                <c:pt idx="2">
                  <c:v>-3.486309017948066</c:v>
                </c:pt>
                <c:pt idx="3">
                  <c:v>0.42106901847520128</c:v>
                </c:pt>
                <c:pt idx="4">
                  <c:v>3.2047195764508332</c:v>
                </c:pt>
                <c:pt idx="5">
                  <c:v>5.5332450743137347</c:v>
                </c:pt>
                <c:pt idx="6">
                  <c:v>7.6309387320950712</c:v>
                </c:pt>
                <c:pt idx="7">
                  <c:v>9.5937478004768728</c:v>
                </c:pt>
                <c:pt idx="8">
                  <c:v>11.469222277892463</c:v>
                </c:pt>
                <c:pt idx="9">
                  <c:v>13.283305876680668</c:v>
                </c:pt>
                <c:pt idx="10">
                  <c:v>15.051077675349326</c:v>
                </c:pt>
                <c:pt idx="11">
                  <c:v>16.781635559339072</c:v>
                </c:pt>
                <c:pt idx="12">
                  <c:v>18.480531851782004</c:v>
                </c:pt>
                <c:pt idx="13">
                  <c:v>20.151075861772814</c:v>
                </c:pt>
                <c:pt idx="14">
                  <c:v>21.79506741077741</c:v>
                </c:pt>
                <c:pt idx="15">
                  <c:v>23.413224446370535</c:v>
                </c:pt>
                <c:pt idx="16">
                  <c:v>25.005435882041542</c:v>
                </c:pt>
                <c:pt idx="17">
                  <c:v>26.570908485671261</c:v>
                </c:pt>
                <c:pt idx="18">
                  <c:v>28.108245271413203</c:v>
                </c:pt>
                <c:pt idx="19">
                  <c:v>29.615476095434349</c:v>
                </c:pt>
                <c:pt idx="20">
                  <c:v>31.090051635779325</c:v>
                </c:pt>
                <c:pt idx="21">
                  <c:v>32.528806104761301</c:v>
                </c:pt>
                <c:pt idx="22">
                  <c:v>33.927890085445803</c:v>
                </c:pt>
                <c:pt idx="23">
                  <c:v>35.282671801541305</c:v>
                </c:pt>
                <c:pt idx="24">
                  <c:v>36.587602305768037</c:v>
                </c:pt>
                <c:pt idx="25">
                  <c:v>37.836037056683018</c:v>
                </c:pt>
                <c:pt idx="26">
                  <c:v>39.020002744605947</c:v>
                </c:pt>
                <c:pt idx="27">
                  <c:v>40.129893583156779</c:v>
                </c:pt>
                <c:pt idx="28">
                  <c:v>41.154075056751658</c:v>
                </c:pt>
                <c:pt idx="29">
                  <c:v>42.0783645839619</c:v>
                </c:pt>
                <c:pt idx="30">
                  <c:v>42.885346758209742</c:v>
                </c:pt>
                <c:pt idx="31">
                  <c:v>43.553464515484016</c:v>
                </c:pt>
                <c:pt idx="32">
                  <c:v>44.055805294249346</c:v>
                </c:pt>
                <c:pt idx="33">
                  <c:v>44.358471724503694</c:v>
                </c:pt>
                <c:pt idx="34">
                  <c:v>44.418389855779985</c:v>
                </c:pt>
                <c:pt idx="35">
                  <c:v>44.180369904364255</c:v>
                </c:pt>
                <c:pt idx="36">
                  <c:v>43.573215475824561</c:v>
                </c:pt>
                <c:pt idx="37">
                  <c:v>42.504736921659145</c:v>
                </c:pt>
                <c:pt idx="38">
                  <c:v>40.855818454367252</c:v>
                </c:pt>
                <c:pt idx="39">
                  <c:v>38.474587829129376</c:v>
                </c:pt>
                <c:pt idx="40">
                  <c:v>35.174026373564026</c:v>
                </c:pt>
                <c:pt idx="41">
                  <c:v>30.741321290510641</c:v>
                </c:pt>
                <c:pt idx="42">
                  <c:v>24.975545248162792</c:v>
                </c:pt>
                <c:pt idx="43">
                  <c:v>17.776153565937548</c:v>
                </c:pt>
                <c:pt idx="44">
                  <c:v>9.2843491295047027</c:v>
                </c:pt>
                <c:pt idx="45">
                  <c:v>1.6546161282334624E-14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ED10-43EB-A20D-80A41E0F4C79}"/>
            </c:ext>
          </c:extLst>
        </c:ser>
        <c:ser>
          <c:idx val="18"/>
          <c:order val="18"/>
          <c:tx>
            <c:strRef>
              <c:f>xliv!$AN$3</c:f>
              <c:strCache>
                <c:ptCount val="1"/>
                <c:pt idx="0">
                  <c:v>Ma = 100000,0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xliv!$AO$5:$AO$50</c:f>
              <c:numCache>
                <c:formatCode>0.000</c:formatCode>
                <c:ptCount val="46"/>
                <c:pt idx="0" formatCode="General">
                  <c:v>0</c:v>
                </c:pt>
                <c:pt idx="1">
                  <c:v>1.6665348434575749</c:v>
                </c:pt>
                <c:pt idx="2">
                  <c:v>3.3322782952338765</c:v>
                </c:pt>
                <c:pt idx="3">
                  <c:v>4.9964310819001581</c:v>
                </c:pt>
                <c:pt idx="4">
                  <c:v>6.6581792172359293</c:v>
                </c:pt>
                <c:pt idx="5">
                  <c:v>8.3166858207722125</c:v>
                </c:pt>
                <c:pt idx="6">
                  <c:v>9.971082813261372</c:v>
                </c:pt>
                <c:pt idx="7">
                  <c:v>11.62046195778616</c:v>
                </c:pt>
                <c:pt idx="8">
                  <c:v>13.26386506493875</c:v>
                </c:pt>
                <c:pt idx="9">
                  <c:v>14.900273135674098</c:v>
                </c:pt>
                <c:pt idx="10">
                  <c:v>16.528594175104608</c:v>
                </c:pt>
                <c:pt idx="11">
                  <c:v>18.14764936005497</c:v>
                </c:pt>
                <c:pt idx="12">
                  <c:v>19.756157178702612</c:v>
                </c:pt>
                <c:pt idx="13">
                  <c:v>21.352715078064691</c:v>
                </c:pt>
                <c:pt idx="14">
                  <c:v>22.935778049257106</c:v>
                </c:pt>
                <c:pt idx="15">
                  <c:v>24.503633444419975</c:v>
                </c:pt>
                <c:pt idx="16">
                  <c:v>26.054371143665815</c:v>
                </c:pt>
                <c:pt idx="17">
                  <c:v>27.585847962766874</c:v>
                </c:pt>
                <c:pt idx="18">
                  <c:v>29.095644895408221</c:v>
                </c:pt>
                <c:pt idx="19">
                  <c:v>30.581015394182749</c:v>
                </c:pt>
                <c:pt idx="20">
                  <c:v>32.038822379635519</c:v>
                </c:pt>
                <c:pt idx="21">
                  <c:v>33.465460981431455</c:v>
                </c:pt>
                <c:pt idx="22">
                  <c:v>34.856763096865599</c:v>
                </c:pt>
                <c:pt idx="23">
                  <c:v>36.207878610169722</c:v>
                </c:pt>
                <c:pt idx="24">
                  <c:v>37.513126424466854</c:v>
                </c:pt>
                <c:pt idx="25">
                  <c:v>38.765806135175815</c:v>
                </c:pt>
                <c:pt idx="26">
                  <c:v>39.95795795787128</c:v>
                </c:pt>
                <c:pt idx="27">
                  <c:v>41.080054037650292</c:v>
                </c:pt>
                <c:pt idx="28">
                  <c:v>42.12059796518809</c:v>
                </c:pt>
                <c:pt idx="29">
                  <c:v>43.0656004204331</c:v>
                </c:pt>
                <c:pt idx="30">
                  <c:v>43.897886237835607</c:v>
                </c:pt>
                <c:pt idx="31">
                  <c:v>44.596170282060555</c:v>
                </c:pt>
                <c:pt idx="32">
                  <c:v>45.133814301010069</c:v>
                </c:pt>
                <c:pt idx="33">
                  <c:v>45.477142046063676</c:v>
                </c:pt>
                <c:pt idx="34">
                  <c:v>45.583143727667405</c:v>
                </c:pt>
                <c:pt idx="35">
                  <c:v>45.396345385689813</c:v>
                </c:pt>
                <c:pt idx="36">
                  <c:v>44.844568824817372</c:v>
                </c:pt>
                <c:pt idx="37">
                  <c:v>43.833315061383509</c:v>
                </c:pt>
                <c:pt idx="38">
                  <c:v>42.238718248161092</c:v>
                </c:pt>
                <c:pt idx="39">
                  <c:v>39.899827541505466</c:v>
                </c:pt>
                <c:pt idx="40">
                  <c:v>36.613292079058084</c:v>
                </c:pt>
                <c:pt idx="41">
                  <c:v>32.13909391350419</c:v>
                </c:pt>
                <c:pt idx="42">
                  <c:v>26.236572594335257</c:v>
                </c:pt>
                <c:pt idx="43">
                  <c:v>18.761014913932325</c:v>
                </c:pt>
                <c:pt idx="44">
                  <c:v>9.8336896170272219</c:v>
                </c:pt>
                <c:pt idx="45">
                  <c:v>1.7548958925280073E-14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ED10-43EB-A20D-80A41E0F4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764384"/>
        <c:axId val="1903764864"/>
      </c:scatterChart>
      <c:valAx>
        <c:axId val="1903764384"/>
        <c:scaling>
          <c:orientation val="minMax"/>
          <c:max val="89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rnd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CMU Serif" panose="02000603000000000000" pitchFamily="2" charset="0"/>
                    <a:ea typeface="CMU Serif" panose="02000603000000000000" pitchFamily="2" charset="0"/>
                    <a:cs typeface="CMU Serif" panose="02000603000000000000" pitchFamily="2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Diagramm xliv                                           </a:t>
                </a:r>
                <a:endParaRPr lang="de-DE" i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1526300317190154E-2"/>
              <c:y val="0.967472135218919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864"/>
        <c:crosses val="autoZero"/>
        <c:crossBetween val="midCat"/>
        <c:majorUnit val="4"/>
        <c:minorUnit val="1"/>
      </c:valAx>
      <c:valAx>
        <c:axId val="1903764864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384"/>
        <c:crosses val="autoZero"/>
        <c:crossBetween val="midCat"/>
        <c:majorUnit val="2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MU Serif" panose="02000603000000000000" pitchFamily="2" charset="0"/>
          <a:ea typeface="CMU Serif" panose="02000603000000000000" pitchFamily="2" charset="0"/>
          <a:cs typeface="CMU Serif" panose="02000603000000000000" pitchFamily="2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888777207457472E-2"/>
          <c:y val="1.4263738880256678E-2"/>
          <c:w val="0.87597314922554481"/>
          <c:h val="0.9261332321019686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xlv!$D$3</c:f>
              <c:strCache>
                <c:ptCount val="1"/>
                <c:pt idx="0">
                  <c:v>θ = 0°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xlv!$D$5:$D$61</c:f>
              <c:numCache>
                <c:formatCode>0.0000</c:formatCode>
                <c:ptCount val="57"/>
                <c:pt idx="12">
                  <c:v>3.6279552785433005</c:v>
                </c:pt>
                <c:pt idx="13">
                  <c:v>3.4203036198332684</c:v>
                </c:pt>
                <c:pt idx="14">
                  <c:v>3.2360679774997898</c:v>
                </c:pt>
                <c:pt idx="15">
                  <c:v>2.9238044001630876</c:v>
                </c:pt>
                <c:pt idx="16">
                  <c:v>2.6694671625540143</c:v>
                </c:pt>
                <c:pt idx="17">
                  <c:v>2.4585933355742386</c:v>
                </c:pt>
                <c:pt idx="18">
                  <c:v>2.2811720327048595</c:v>
                </c:pt>
                <c:pt idx="19">
                  <c:v>2.1300544681895124</c:v>
                </c:pt>
                <c:pt idx="20">
                  <c:v>2</c:v>
                </c:pt>
                <c:pt idx="21">
                  <c:v>1.8870799147998585</c:v>
                </c:pt>
                <c:pt idx="22">
                  <c:v>1.7882916499714003</c:v>
                </c:pt>
                <c:pt idx="23">
                  <c:v>1.7013016167040798</c:v>
                </c:pt>
                <c:pt idx="24">
                  <c:v>1.6242692454827443</c:v>
                </c:pt>
                <c:pt idx="25">
                  <c:v>1.5557238268604126</c:v>
                </c:pt>
                <c:pt idx="26">
                  <c:v>1.4944765498646086</c:v>
                </c:pt>
                <c:pt idx="27">
                  <c:v>1.4395565396257264</c:v>
                </c:pt>
                <c:pt idx="28">
                  <c:v>1.390163591016679</c:v>
                </c:pt>
                <c:pt idx="29">
                  <c:v>1.3456327296063764</c:v>
                </c:pt>
                <c:pt idx="30">
                  <c:v>1.3054072893322786</c:v>
                </c:pt>
                <c:pt idx="31">
                  <c:v>1.2690182150725788</c:v>
                </c:pt>
                <c:pt idx="32">
                  <c:v>1.2360679774997896</c:v>
                </c:pt>
                <c:pt idx="33">
                  <c:v>1.2062179485039053</c:v>
                </c:pt>
                <c:pt idx="34">
                  <c:v>1.1791784033620965</c:v>
                </c:pt>
                <c:pt idx="35">
                  <c:v>1.1547005383792517</c:v>
                </c:pt>
                <c:pt idx="36">
                  <c:v>1.1325700506890393</c:v>
                </c:pt>
                <c:pt idx="37">
                  <c:v>1.1126019404751888</c:v>
                </c:pt>
                <c:pt idx="38">
                  <c:v>1.0946362785060468</c:v>
                </c:pt>
                <c:pt idx="39">
                  <c:v>1.0785347426775833</c:v>
                </c:pt>
                <c:pt idx="40">
                  <c:v>1.0641777724759123</c:v>
                </c:pt>
                <c:pt idx="41">
                  <c:v>1.0514622242382672</c:v>
                </c:pt>
                <c:pt idx="42">
                  <c:v>1.040299435861602</c:v>
                </c:pt>
                <c:pt idx="43">
                  <c:v>1.0306136293498982</c:v>
                </c:pt>
                <c:pt idx="44">
                  <c:v>1.0223405948650293</c:v>
                </c:pt>
                <c:pt idx="45">
                  <c:v>1.0154266118857451</c:v>
                </c:pt>
                <c:pt idx="46">
                  <c:v>1.0098275725186181</c:v>
                </c:pt>
                <c:pt idx="47">
                  <c:v>1.0055082795635164</c:v>
                </c:pt>
                <c:pt idx="48">
                  <c:v>1.0024418980811722</c:v>
                </c:pt>
                <c:pt idx="49">
                  <c:v>1.0018686870561793</c:v>
                </c:pt>
                <c:pt idx="50">
                  <c:v>1.0013723459979209</c:v>
                </c:pt>
                <c:pt idx="51">
                  <c:v>1.0009526851633199</c:v>
                </c:pt>
                <c:pt idx="52">
                  <c:v>1.0006095442988217</c:v>
                </c:pt>
                <c:pt idx="53">
                  <c:v>1.0003427924908679</c:v>
                </c:pt>
                <c:pt idx="54">
                  <c:v>1.0001523280439077</c:v>
                </c:pt>
                <c:pt idx="55">
                  <c:v>1.000038078385737</c:v>
                </c:pt>
                <c:pt idx="56">
                  <c:v>1</c:v>
                </c:pt>
              </c:numCache>
            </c:numRef>
          </c:xVal>
          <c:yVal>
            <c:numRef>
              <c:f>xlv!$B$5:$B$61</c:f>
              <c:numCache>
                <c:formatCode>General</c:formatCode>
                <c:ptCount val="57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22</c:v>
                </c:pt>
                <c:pt idx="17">
                  <c:v>24</c:v>
                </c:pt>
                <c:pt idx="18">
                  <c:v>26</c:v>
                </c:pt>
                <c:pt idx="19">
                  <c:v>28</c:v>
                </c:pt>
                <c:pt idx="20">
                  <c:v>30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42</c:v>
                </c:pt>
                <c:pt idx="27">
                  <c:v>44</c:v>
                </c:pt>
                <c:pt idx="28">
                  <c:v>46</c:v>
                </c:pt>
                <c:pt idx="29">
                  <c:v>48</c:v>
                </c:pt>
                <c:pt idx="30">
                  <c:v>50</c:v>
                </c:pt>
                <c:pt idx="31">
                  <c:v>52</c:v>
                </c:pt>
                <c:pt idx="32">
                  <c:v>54</c:v>
                </c:pt>
                <c:pt idx="33">
                  <c:v>56</c:v>
                </c:pt>
                <c:pt idx="34">
                  <c:v>58</c:v>
                </c:pt>
                <c:pt idx="35">
                  <c:v>60</c:v>
                </c:pt>
                <c:pt idx="36">
                  <c:v>62</c:v>
                </c:pt>
                <c:pt idx="37">
                  <c:v>64</c:v>
                </c:pt>
                <c:pt idx="38">
                  <c:v>66</c:v>
                </c:pt>
                <c:pt idx="39">
                  <c:v>68</c:v>
                </c:pt>
                <c:pt idx="40">
                  <c:v>70</c:v>
                </c:pt>
                <c:pt idx="41">
                  <c:v>72</c:v>
                </c:pt>
                <c:pt idx="42">
                  <c:v>74</c:v>
                </c:pt>
                <c:pt idx="43">
                  <c:v>76</c:v>
                </c:pt>
                <c:pt idx="44">
                  <c:v>78</c:v>
                </c:pt>
                <c:pt idx="45">
                  <c:v>80</c:v>
                </c:pt>
                <c:pt idx="46">
                  <c:v>82</c:v>
                </c:pt>
                <c:pt idx="47">
                  <c:v>84</c:v>
                </c:pt>
                <c:pt idx="48">
                  <c:v>86</c:v>
                </c:pt>
                <c:pt idx="49">
                  <c:v>86.5</c:v>
                </c:pt>
                <c:pt idx="50">
                  <c:v>87</c:v>
                </c:pt>
                <c:pt idx="51">
                  <c:v>87.5</c:v>
                </c:pt>
                <c:pt idx="52">
                  <c:v>88</c:v>
                </c:pt>
                <c:pt idx="53">
                  <c:v>88.5</c:v>
                </c:pt>
                <c:pt idx="54">
                  <c:v>89</c:v>
                </c:pt>
                <c:pt idx="55">
                  <c:v>89.5</c:v>
                </c:pt>
                <c:pt idx="56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E330-4B5A-8A0D-962D7D021394}"/>
            </c:ext>
          </c:extLst>
        </c:ser>
        <c:ser>
          <c:idx val="1"/>
          <c:order val="1"/>
          <c:tx>
            <c:strRef>
              <c:f>xlv!$E$3</c:f>
              <c:strCache>
                <c:ptCount val="1"/>
                <c:pt idx="0">
                  <c:v>θ = 5°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xlv!$E$5:$E$61</c:f>
              <c:numCache>
                <c:formatCode>0.0000</c:formatCode>
                <c:ptCount val="57"/>
                <c:pt idx="15">
                  <c:v>3.5367613613854618</c:v>
                </c:pt>
                <c:pt idx="16">
                  <c:v>3.1724414405602719</c:v>
                </c:pt>
                <c:pt idx="17">
                  <c:v>2.8814331535021172</c:v>
                </c:pt>
                <c:pt idx="18">
                  <c:v>2.643888248688715</c:v>
                </c:pt>
                <c:pt idx="19">
                  <c:v>2.4465934543088963</c:v>
                </c:pt>
                <c:pt idx="20">
                  <c:v>2.2804006591039485</c:v>
                </c:pt>
                <c:pt idx="21">
                  <c:v>2.1387707563697442</c:v>
                </c:pt>
                <c:pt idx="22">
                  <c:v>2.0169042191666926</c:v>
                </c:pt>
                <c:pt idx="23">
                  <c:v>1.9111991763056482</c:v>
                </c:pt>
                <c:pt idx="24">
                  <c:v>1.8189012435111094</c:v>
                </c:pt>
                <c:pt idx="25">
                  <c:v>1.7378702530505226</c:v>
                </c:pt>
                <c:pt idx="26">
                  <c:v>1.6664207633701456</c:v>
                </c:pt>
                <c:pt idx="27">
                  <c:v>1.6032105723769321</c:v>
                </c:pt>
                <c:pt idx="28">
                  <c:v>1.54716132803647</c:v>
                </c:pt>
                <c:pt idx="29">
                  <c:v>1.4974011533513998</c:v>
                </c:pt>
                <c:pt idx="30">
                  <c:v>1.453222753815067</c:v>
                </c:pt>
                <c:pt idx="31">
                  <c:v>1.4140527118408941</c:v>
                </c:pt>
                <c:pt idx="32">
                  <c:v>1.3794291323395729</c:v>
                </c:pt>
                <c:pt idx="33">
                  <c:v>1.3489858023245154</c:v>
                </c:pt>
                <c:pt idx="34">
                  <c:v>1.3224417627267262</c:v>
                </c:pt>
                <c:pt idx="35">
                  <c:v>1.2995958010973374</c:v>
                </c:pt>
                <c:pt idx="36">
                  <c:v>1.2803259793232173</c:v>
                </c:pt>
                <c:pt idx="37">
                  <c:v>1.2645950496058349</c:v>
                </c:pt>
                <c:pt idx="38">
                  <c:v>1.2524636962773597</c:v>
                </c:pt>
                <c:pt idx="39">
                  <c:v>1.2441153573299459</c:v>
                </c:pt>
                <c:pt idx="40">
                  <c:v>1.2398997170792008</c:v>
                </c:pt>
                <c:pt idx="41">
                  <c:v>1.2404085652742438</c:v>
                </c:pt>
                <c:pt idx="42">
                  <c:v>1.2466117527413925</c:v>
                </c:pt>
                <c:pt idx="43">
                  <c:v>1.2601132631565772</c:v>
                </c:pt>
                <c:pt idx="44">
                  <c:v>1.2836691498294084</c:v>
                </c:pt>
                <c:pt idx="45">
                  <c:v>1.3223426178674578</c:v>
                </c:pt>
                <c:pt idx="46">
                  <c:v>1.3864564129298322</c:v>
                </c:pt>
                <c:pt idx="47">
                  <c:v>1.5008349785419117</c:v>
                </c:pt>
                <c:pt idx="48">
                  <c:v>1.7455619458954932</c:v>
                </c:pt>
                <c:pt idx="49">
                  <c:v>1.8569187078940772</c:v>
                </c:pt>
                <c:pt idx="50">
                  <c:v>2.0129225120165803</c:v>
                </c:pt>
                <c:pt idx="51">
                  <c:v>2.2496852778867527</c:v>
                </c:pt>
                <c:pt idx="52">
                  <c:v>2.6620459856759919</c:v>
                </c:pt>
                <c:pt idx="53">
                  <c:v>3.6335394146072026</c:v>
                </c:pt>
              </c:numCache>
            </c:numRef>
          </c:xVal>
          <c:yVal>
            <c:numRef>
              <c:f>xlv!$B$5:$B$61</c:f>
              <c:numCache>
                <c:formatCode>General</c:formatCode>
                <c:ptCount val="57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22</c:v>
                </c:pt>
                <c:pt idx="17">
                  <c:v>24</c:v>
                </c:pt>
                <c:pt idx="18">
                  <c:v>26</c:v>
                </c:pt>
                <c:pt idx="19">
                  <c:v>28</c:v>
                </c:pt>
                <c:pt idx="20">
                  <c:v>30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42</c:v>
                </c:pt>
                <c:pt idx="27">
                  <c:v>44</c:v>
                </c:pt>
                <c:pt idx="28">
                  <c:v>46</c:v>
                </c:pt>
                <c:pt idx="29">
                  <c:v>48</c:v>
                </c:pt>
                <c:pt idx="30">
                  <c:v>50</c:v>
                </c:pt>
                <c:pt idx="31">
                  <c:v>52</c:v>
                </c:pt>
                <c:pt idx="32">
                  <c:v>54</c:v>
                </c:pt>
                <c:pt idx="33">
                  <c:v>56</c:v>
                </c:pt>
                <c:pt idx="34">
                  <c:v>58</c:v>
                </c:pt>
                <c:pt idx="35">
                  <c:v>60</c:v>
                </c:pt>
                <c:pt idx="36">
                  <c:v>62</c:v>
                </c:pt>
                <c:pt idx="37">
                  <c:v>64</c:v>
                </c:pt>
                <c:pt idx="38">
                  <c:v>66</c:v>
                </c:pt>
                <c:pt idx="39">
                  <c:v>68</c:v>
                </c:pt>
                <c:pt idx="40">
                  <c:v>70</c:v>
                </c:pt>
                <c:pt idx="41">
                  <c:v>72</c:v>
                </c:pt>
                <c:pt idx="42">
                  <c:v>74</c:v>
                </c:pt>
                <c:pt idx="43">
                  <c:v>76</c:v>
                </c:pt>
                <c:pt idx="44">
                  <c:v>78</c:v>
                </c:pt>
                <c:pt idx="45">
                  <c:v>80</c:v>
                </c:pt>
                <c:pt idx="46">
                  <c:v>82</c:v>
                </c:pt>
                <c:pt idx="47">
                  <c:v>84</c:v>
                </c:pt>
                <c:pt idx="48">
                  <c:v>86</c:v>
                </c:pt>
                <c:pt idx="49">
                  <c:v>86.5</c:v>
                </c:pt>
                <c:pt idx="50">
                  <c:v>87</c:v>
                </c:pt>
                <c:pt idx="51">
                  <c:v>87.5</c:v>
                </c:pt>
                <c:pt idx="52">
                  <c:v>88</c:v>
                </c:pt>
                <c:pt idx="53">
                  <c:v>88.5</c:v>
                </c:pt>
                <c:pt idx="54">
                  <c:v>89</c:v>
                </c:pt>
                <c:pt idx="55">
                  <c:v>89.5</c:v>
                </c:pt>
                <c:pt idx="56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E330-4B5A-8A0D-962D7D021394}"/>
            </c:ext>
          </c:extLst>
        </c:ser>
        <c:ser>
          <c:idx val="2"/>
          <c:order val="2"/>
          <c:tx>
            <c:strRef>
              <c:f>xlv!$F$3</c:f>
              <c:strCache>
                <c:ptCount val="1"/>
                <c:pt idx="0">
                  <c:v>θ = 10°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xlv!$F$5:$F$61</c:f>
              <c:numCache>
                <c:formatCode>0.0000</c:formatCode>
                <c:ptCount val="57"/>
                <c:pt idx="17">
                  <c:v>3.5786169115837394</c:v>
                </c:pt>
                <c:pt idx="18">
                  <c:v>3.2084680611427348</c:v>
                </c:pt>
                <c:pt idx="19">
                  <c:v>2.916779482436954</c:v>
                </c:pt>
                <c:pt idx="20">
                  <c:v>2.6810059624604055</c:v>
                </c:pt>
                <c:pt idx="21">
                  <c:v>2.4866756820887872</c:v>
                </c:pt>
                <c:pt idx="22">
                  <c:v>2.324033969400761</c:v>
                </c:pt>
                <c:pt idx="23">
                  <c:v>2.1862489947306636</c:v>
                </c:pt>
                <c:pt idx="24">
                  <c:v>2.0683869373191941</c:v>
                </c:pt>
                <c:pt idx="25">
                  <c:v>1.9667949753781928</c:v>
                </c:pt>
                <c:pt idx="26">
                  <c:v>1.8787135610123187</c:v>
                </c:pt>
                <c:pt idx="27">
                  <c:v>1.8020240658957574</c:v>
                </c:pt>
                <c:pt idx="28">
                  <c:v>1.7350797548474557</c:v>
                </c:pt>
                <c:pt idx="29">
                  <c:v>1.6765899786677967</c:v>
                </c:pt>
                <c:pt idx="30">
                  <c:v>1.6255395474684169</c:v>
                </c:pt>
                <c:pt idx="31">
                  <c:v>1.5811321905288844</c:v>
                </c:pt>
                <c:pt idx="32">
                  <c:v>1.5427511868606945</c:v>
                </c:pt>
                <c:pt idx="33">
                  <c:v>1.5099329009401654</c:v>
                </c:pt>
                <c:pt idx="34">
                  <c:v>1.4823507742980944</c:v>
                </c:pt>
                <c:pt idx="35">
                  <c:v>1.4598087367159203</c:v>
                </c:pt>
                <c:pt idx="36">
                  <c:v>1.4422443363103601</c:v>
                </c:pt>
                <c:pt idx="37">
                  <c:v>1.4297434834160005</c:v>
                </c:pt>
                <c:pt idx="38">
                  <c:v>1.4225710476978215</c:v>
                </c:pt>
                <c:pt idx="39">
                  <c:v>1.4212255303936565</c:v>
                </c:pt>
                <c:pt idx="40">
                  <c:v>1.426533497296417</c:v>
                </c:pt>
                <c:pt idx="41">
                  <c:v>1.4398145846594184</c:v>
                </c:pt>
                <c:pt idx="42">
                  <c:v>1.4631809958590758</c:v>
                </c:pt>
                <c:pt idx="43">
                  <c:v>1.5001144622044018</c:v>
                </c:pt>
                <c:pt idx="44">
                  <c:v>1.5566737974052236</c:v>
                </c:pt>
                <c:pt idx="45">
                  <c:v>1.6443285443908338</c:v>
                </c:pt>
                <c:pt idx="46">
                  <c:v>1.7877964637949031</c:v>
                </c:pt>
                <c:pt idx="47">
                  <c:v>2.053118506422317</c:v>
                </c:pt>
                <c:pt idx="48">
                  <c:v>2.712722547730638</c:v>
                </c:pt>
                <c:pt idx="49">
                  <c:v>3.0813678010687426</c:v>
                </c:pt>
                <c:pt idx="50">
                  <c:v>3.7214321973940159</c:v>
                </c:pt>
              </c:numCache>
            </c:numRef>
          </c:xVal>
          <c:yVal>
            <c:numRef>
              <c:f>xlv!$B$5:$B$61</c:f>
              <c:numCache>
                <c:formatCode>General</c:formatCode>
                <c:ptCount val="57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22</c:v>
                </c:pt>
                <c:pt idx="17">
                  <c:v>24</c:v>
                </c:pt>
                <c:pt idx="18">
                  <c:v>26</c:v>
                </c:pt>
                <c:pt idx="19">
                  <c:v>28</c:v>
                </c:pt>
                <c:pt idx="20">
                  <c:v>30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42</c:v>
                </c:pt>
                <c:pt idx="27">
                  <c:v>44</c:v>
                </c:pt>
                <c:pt idx="28">
                  <c:v>46</c:v>
                </c:pt>
                <c:pt idx="29">
                  <c:v>48</c:v>
                </c:pt>
                <c:pt idx="30">
                  <c:v>50</c:v>
                </c:pt>
                <c:pt idx="31">
                  <c:v>52</c:v>
                </c:pt>
                <c:pt idx="32">
                  <c:v>54</c:v>
                </c:pt>
                <c:pt idx="33">
                  <c:v>56</c:v>
                </c:pt>
                <c:pt idx="34">
                  <c:v>58</c:v>
                </c:pt>
                <c:pt idx="35">
                  <c:v>60</c:v>
                </c:pt>
                <c:pt idx="36">
                  <c:v>62</c:v>
                </c:pt>
                <c:pt idx="37">
                  <c:v>64</c:v>
                </c:pt>
                <c:pt idx="38">
                  <c:v>66</c:v>
                </c:pt>
                <c:pt idx="39">
                  <c:v>68</c:v>
                </c:pt>
                <c:pt idx="40">
                  <c:v>70</c:v>
                </c:pt>
                <c:pt idx="41">
                  <c:v>72</c:v>
                </c:pt>
                <c:pt idx="42">
                  <c:v>74</c:v>
                </c:pt>
                <c:pt idx="43">
                  <c:v>76</c:v>
                </c:pt>
                <c:pt idx="44">
                  <c:v>78</c:v>
                </c:pt>
                <c:pt idx="45">
                  <c:v>80</c:v>
                </c:pt>
                <c:pt idx="46">
                  <c:v>82</c:v>
                </c:pt>
                <c:pt idx="47">
                  <c:v>84</c:v>
                </c:pt>
                <c:pt idx="48">
                  <c:v>86</c:v>
                </c:pt>
                <c:pt idx="49">
                  <c:v>86.5</c:v>
                </c:pt>
                <c:pt idx="50">
                  <c:v>87</c:v>
                </c:pt>
                <c:pt idx="51">
                  <c:v>87.5</c:v>
                </c:pt>
                <c:pt idx="52">
                  <c:v>88</c:v>
                </c:pt>
                <c:pt idx="53">
                  <c:v>88.5</c:v>
                </c:pt>
                <c:pt idx="54">
                  <c:v>89</c:v>
                </c:pt>
                <c:pt idx="55">
                  <c:v>89.5</c:v>
                </c:pt>
                <c:pt idx="56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E330-4B5A-8A0D-962D7D021394}"/>
            </c:ext>
          </c:extLst>
        </c:ser>
        <c:ser>
          <c:idx val="3"/>
          <c:order val="3"/>
          <c:tx>
            <c:strRef>
              <c:f>xlv!$G$3</c:f>
              <c:strCache>
                <c:ptCount val="1"/>
                <c:pt idx="0">
                  <c:v>θ = 15°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xlv!$G$5:$G$61</c:f>
              <c:numCache>
                <c:formatCode>0.0000</c:formatCode>
                <c:ptCount val="57"/>
                <c:pt idx="19">
                  <c:v>3.7593356451891826</c:v>
                </c:pt>
                <c:pt idx="20">
                  <c:v>3.3476749216056345</c:v>
                </c:pt>
                <c:pt idx="21">
                  <c:v>3.0329428937700902</c:v>
                </c:pt>
                <c:pt idx="22">
                  <c:v>2.7840822535821181</c:v>
                </c:pt>
                <c:pt idx="23">
                  <c:v>2.5824400688209619</c:v>
                </c:pt>
                <c:pt idx="24">
                  <c:v>2.4160516695143919</c:v>
                </c:pt>
                <c:pt idx="25">
                  <c:v>2.2768535513509334</c:v>
                </c:pt>
                <c:pt idx="26">
                  <c:v>2.1592005632462099</c:v>
                </c:pt>
                <c:pt idx="27">
                  <c:v>2.0590221533839994</c:v>
                </c:pt>
                <c:pt idx="28">
                  <c:v>1.9733161525585019</c:v>
                </c:pt>
                <c:pt idx="29">
                  <c:v>1.8998321003480483</c:v>
                </c:pt>
                <c:pt idx="30">
                  <c:v>1.8368667087825592</c:v>
                </c:pt>
                <c:pt idx="31">
                  <c:v>1.7831288863217802</c:v>
                </c:pt>
                <c:pt idx="32">
                  <c:v>1.7376500180789423</c:v>
                </c:pt>
                <c:pt idx="33">
                  <c:v>1.6997253731166744</c:v>
                </c:pt>
                <c:pt idx="34">
                  <c:v>1.6688785877830765</c:v>
                </c:pt>
                <c:pt idx="35">
                  <c:v>1.6448452114453034</c:v>
                </c:pt>
                <c:pt idx="36">
                  <c:v>1.6275745075648791</c:v>
                </c:pt>
                <c:pt idx="37">
                  <c:v>1.6172520094326548</c:v>
                </c:pt>
                <c:pt idx="38">
                  <c:v>1.6143498126567608</c:v>
                </c:pt>
                <c:pt idx="39">
                  <c:v>1.6197190417218039</c:v>
                </c:pt>
                <c:pt idx="40">
                  <c:v>1.6347530622907376</c:v>
                </c:pt>
                <c:pt idx="41">
                  <c:v>1.6616794698121784</c:v>
                </c:pt>
                <c:pt idx="42">
                  <c:v>1.7041059364363074</c:v>
                </c:pt>
                <c:pt idx="43">
                  <c:v>1.7681135192250395</c:v>
                </c:pt>
                <c:pt idx="44">
                  <c:v>1.8646703474324478</c:v>
                </c:pt>
                <c:pt idx="45">
                  <c:v>2.0157471135494949</c:v>
                </c:pt>
                <c:pt idx="46">
                  <c:v>2.2733727622927762</c:v>
                </c:pt>
                <c:pt idx="47">
                  <c:v>2.8042802535276388</c:v>
                </c:pt>
                <c:pt idx="48">
                  <c:v>4.7954292773010581</c:v>
                </c:pt>
              </c:numCache>
            </c:numRef>
          </c:xVal>
          <c:yVal>
            <c:numRef>
              <c:f>xlv!$B$5:$B$61</c:f>
              <c:numCache>
                <c:formatCode>General</c:formatCode>
                <c:ptCount val="57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22</c:v>
                </c:pt>
                <c:pt idx="17">
                  <c:v>24</c:v>
                </c:pt>
                <c:pt idx="18">
                  <c:v>26</c:v>
                </c:pt>
                <c:pt idx="19">
                  <c:v>28</c:v>
                </c:pt>
                <c:pt idx="20">
                  <c:v>30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42</c:v>
                </c:pt>
                <c:pt idx="27">
                  <c:v>44</c:v>
                </c:pt>
                <c:pt idx="28">
                  <c:v>46</c:v>
                </c:pt>
                <c:pt idx="29">
                  <c:v>48</c:v>
                </c:pt>
                <c:pt idx="30">
                  <c:v>50</c:v>
                </c:pt>
                <c:pt idx="31">
                  <c:v>52</c:v>
                </c:pt>
                <c:pt idx="32">
                  <c:v>54</c:v>
                </c:pt>
                <c:pt idx="33">
                  <c:v>56</c:v>
                </c:pt>
                <c:pt idx="34">
                  <c:v>58</c:v>
                </c:pt>
                <c:pt idx="35">
                  <c:v>60</c:v>
                </c:pt>
                <c:pt idx="36">
                  <c:v>62</c:v>
                </c:pt>
                <c:pt idx="37">
                  <c:v>64</c:v>
                </c:pt>
                <c:pt idx="38">
                  <c:v>66</c:v>
                </c:pt>
                <c:pt idx="39">
                  <c:v>68</c:v>
                </c:pt>
                <c:pt idx="40">
                  <c:v>70</c:v>
                </c:pt>
                <c:pt idx="41">
                  <c:v>72</c:v>
                </c:pt>
                <c:pt idx="42">
                  <c:v>74</c:v>
                </c:pt>
                <c:pt idx="43">
                  <c:v>76</c:v>
                </c:pt>
                <c:pt idx="44">
                  <c:v>78</c:v>
                </c:pt>
                <c:pt idx="45">
                  <c:v>80</c:v>
                </c:pt>
                <c:pt idx="46">
                  <c:v>82</c:v>
                </c:pt>
                <c:pt idx="47">
                  <c:v>84</c:v>
                </c:pt>
                <c:pt idx="48">
                  <c:v>86</c:v>
                </c:pt>
                <c:pt idx="49">
                  <c:v>86.5</c:v>
                </c:pt>
                <c:pt idx="50">
                  <c:v>87</c:v>
                </c:pt>
                <c:pt idx="51">
                  <c:v>87.5</c:v>
                </c:pt>
                <c:pt idx="52">
                  <c:v>88</c:v>
                </c:pt>
                <c:pt idx="53">
                  <c:v>88.5</c:v>
                </c:pt>
                <c:pt idx="54">
                  <c:v>89</c:v>
                </c:pt>
                <c:pt idx="55">
                  <c:v>89.5</c:v>
                </c:pt>
                <c:pt idx="56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E330-4B5A-8A0D-962D7D021394}"/>
            </c:ext>
          </c:extLst>
        </c:ser>
        <c:ser>
          <c:idx val="4"/>
          <c:order val="4"/>
          <c:tx>
            <c:strRef>
              <c:f>xlv!$H$3</c:f>
              <c:strCache>
                <c:ptCount val="1"/>
                <c:pt idx="0">
                  <c:v>θ = 20°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xlv!$H$5:$H$61</c:f>
              <c:numCache>
                <c:formatCode>0.0000</c:formatCode>
                <c:ptCount val="57"/>
                <c:pt idx="22">
                  <c:v>3.623460285234803</c:v>
                </c:pt>
                <c:pt idx="23">
                  <c:v>3.2525093423381799</c:v>
                </c:pt>
                <c:pt idx="24">
                  <c:v>2.9701808609664817</c:v>
                </c:pt>
                <c:pt idx="25">
                  <c:v>2.7479427797822678</c:v>
                </c:pt>
                <c:pt idx="26">
                  <c:v>2.5688287201164535</c:v>
                </c:pt>
                <c:pt idx="27">
                  <c:v>2.4220482269331547</c:v>
                </c:pt>
                <c:pt idx="28">
                  <c:v>2.3003912938681101</c:v>
                </c:pt>
                <c:pt idx="29">
                  <c:v>2.1988621798809893</c:v>
                </c:pt>
                <c:pt idx="30">
                  <c:v>2.1139102515531656</c:v>
                </c:pt>
                <c:pt idx="31">
                  <c:v>2.0429745661545518</c:v>
                </c:pt>
                <c:pt idx="32">
                  <c:v>1.9842048046616032</c:v>
                </c:pt>
                <c:pt idx="33">
                  <c:v>1.9362878958544774</c:v>
                </c:pt>
                <c:pt idx="34">
                  <c:v>1.8983427523353453</c:v>
                </c:pt>
                <c:pt idx="35">
                  <c:v>1.8698634536195982</c:v>
                </c:pt>
                <c:pt idx="36">
                  <c:v>1.8507022835685696</c:v>
                </c:pt>
                <c:pt idx="37">
                  <c:v>1.8410926568454207</c:v>
                </c:pt>
                <c:pt idx="38">
                  <c:v>1.8417213958109833</c:v>
                </c:pt>
                <c:pt idx="39">
                  <c:v>1.8538740709278041</c:v>
                </c:pt>
                <c:pt idx="40">
                  <c:v>1.8797038340544308</c:v>
                </c:pt>
                <c:pt idx="41">
                  <c:v>1.922731446484051</c:v>
                </c:pt>
                <c:pt idx="42">
                  <c:v>1.9888210520848815</c:v>
                </c:pt>
                <c:pt idx="43">
                  <c:v>2.0882437246507752</c:v>
                </c:pt>
                <c:pt idx="44">
                  <c:v>2.2405839327540482</c:v>
                </c:pt>
                <c:pt idx="45">
                  <c:v>2.4886034684349694</c:v>
                </c:pt>
                <c:pt idx="46">
                  <c:v>2.9499531578315237</c:v>
                </c:pt>
                <c:pt idx="47">
                  <c:v>4.1538963408227598</c:v>
                </c:pt>
              </c:numCache>
            </c:numRef>
          </c:xVal>
          <c:yVal>
            <c:numRef>
              <c:f>xlv!$B$5:$B$61</c:f>
              <c:numCache>
                <c:formatCode>General</c:formatCode>
                <c:ptCount val="57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22</c:v>
                </c:pt>
                <c:pt idx="17">
                  <c:v>24</c:v>
                </c:pt>
                <c:pt idx="18">
                  <c:v>26</c:v>
                </c:pt>
                <c:pt idx="19">
                  <c:v>28</c:v>
                </c:pt>
                <c:pt idx="20">
                  <c:v>30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42</c:v>
                </c:pt>
                <c:pt idx="27">
                  <c:v>44</c:v>
                </c:pt>
                <c:pt idx="28">
                  <c:v>46</c:v>
                </c:pt>
                <c:pt idx="29">
                  <c:v>48</c:v>
                </c:pt>
                <c:pt idx="30">
                  <c:v>50</c:v>
                </c:pt>
                <c:pt idx="31">
                  <c:v>52</c:v>
                </c:pt>
                <c:pt idx="32">
                  <c:v>54</c:v>
                </c:pt>
                <c:pt idx="33">
                  <c:v>56</c:v>
                </c:pt>
                <c:pt idx="34">
                  <c:v>58</c:v>
                </c:pt>
                <c:pt idx="35">
                  <c:v>60</c:v>
                </c:pt>
                <c:pt idx="36">
                  <c:v>62</c:v>
                </c:pt>
                <c:pt idx="37">
                  <c:v>64</c:v>
                </c:pt>
                <c:pt idx="38">
                  <c:v>66</c:v>
                </c:pt>
                <c:pt idx="39">
                  <c:v>68</c:v>
                </c:pt>
                <c:pt idx="40">
                  <c:v>70</c:v>
                </c:pt>
                <c:pt idx="41">
                  <c:v>72</c:v>
                </c:pt>
                <c:pt idx="42">
                  <c:v>74</c:v>
                </c:pt>
                <c:pt idx="43">
                  <c:v>76</c:v>
                </c:pt>
                <c:pt idx="44">
                  <c:v>78</c:v>
                </c:pt>
                <c:pt idx="45">
                  <c:v>80</c:v>
                </c:pt>
                <c:pt idx="46">
                  <c:v>82</c:v>
                </c:pt>
                <c:pt idx="47">
                  <c:v>84</c:v>
                </c:pt>
                <c:pt idx="48">
                  <c:v>86</c:v>
                </c:pt>
                <c:pt idx="49">
                  <c:v>86.5</c:v>
                </c:pt>
                <c:pt idx="50">
                  <c:v>87</c:v>
                </c:pt>
                <c:pt idx="51">
                  <c:v>87.5</c:v>
                </c:pt>
                <c:pt idx="52">
                  <c:v>88</c:v>
                </c:pt>
                <c:pt idx="53">
                  <c:v>88.5</c:v>
                </c:pt>
                <c:pt idx="54">
                  <c:v>89</c:v>
                </c:pt>
                <c:pt idx="55">
                  <c:v>89.5</c:v>
                </c:pt>
                <c:pt idx="56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E330-4B5A-8A0D-962D7D021394}"/>
            </c:ext>
          </c:extLst>
        </c:ser>
        <c:ser>
          <c:idx val="5"/>
          <c:order val="5"/>
          <c:tx>
            <c:strRef>
              <c:f>xlv!$I$3</c:f>
              <c:strCache>
                <c:ptCount val="1"/>
                <c:pt idx="0">
                  <c:v>θ = 25°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xlv!$I$5:$I$61</c:f>
              <c:numCache>
                <c:formatCode>0.0000</c:formatCode>
                <c:ptCount val="57"/>
                <c:pt idx="25">
                  <c:v>3.6347670171920008</c:v>
                </c:pt>
                <c:pt idx="26">
                  <c:v>3.2811423510556903</c:v>
                </c:pt>
                <c:pt idx="27">
                  <c:v>3.0156590391566089</c:v>
                </c:pt>
                <c:pt idx="28">
                  <c:v>2.8095243001456307</c:v>
                </c:pt>
                <c:pt idx="29">
                  <c:v>2.6459437779081796</c:v>
                </c:pt>
                <c:pt idx="30">
                  <c:v>2.5144309060401286</c:v>
                </c:pt>
                <c:pt idx="31">
                  <c:v>2.4081253363439146</c:v>
                </c:pt>
                <c:pt idx="32">
                  <c:v>2.3224100944488608</c:v>
                </c:pt>
                <c:pt idx="33">
                  <c:v>2.2541525382946657</c:v>
                </c:pt>
                <c:pt idx="34">
                  <c:v>2.2012736682670937</c:v>
                </c:pt>
                <c:pt idx="35">
                  <c:v>2.1625074068309824</c:v>
                </c:pt>
                <c:pt idx="36">
                  <c:v>2.1372844203638888</c:v>
                </c:pt>
                <c:pt idx="37">
                  <c:v>2.1257147129542817</c:v>
                </c:pt>
                <c:pt idx="38">
                  <c:v>2.1286719989175324</c:v>
                </c:pt>
                <c:pt idx="39">
                  <c:v>2.1480154573315544</c:v>
                </c:pt>
                <c:pt idx="40">
                  <c:v>2.1870399477530369</c:v>
                </c:pt>
                <c:pt idx="41">
                  <c:v>2.2513662434037678</c:v>
                </c:pt>
                <c:pt idx="42">
                  <c:v>2.3507883095376538</c:v>
                </c:pt>
                <c:pt idx="43">
                  <c:v>2.5034913140665287</c:v>
                </c:pt>
                <c:pt idx="44">
                  <c:v>2.7472172188869384</c:v>
                </c:pt>
                <c:pt idx="45">
                  <c:v>3.1765525502941405</c:v>
                </c:pt>
                <c:pt idx="46">
                  <c:v>4.1330906481718852</c:v>
                </c:pt>
              </c:numCache>
            </c:numRef>
          </c:xVal>
          <c:yVal>
            <c:numRef>
              <c:f>xlv!$B$5:$B$61</c:f>
              <c:numCache>
                <c:formatCode>General</c:formatCode>
                <c:ptCount val="57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22</c:v>
                </c:pt>
                <c:pt idx="17">
                  <c:v>24</c:v>
                </c:pt>
                <c:pt idx="18">
                  <c:v>26</c:v>
                </c:pt>
                <c:pt idx="19">
                  <c:v>28</c:v>
                </c:pt>
                <c:pt idx="20">
                  <c:v>30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42</c:v>
                </c:pt>
                <c:pt idx="27">
                  <c:v>44</c:v>
                </c:pt>
                <c:pt idx="28">
                  <c:v>46</c:v>
                </c:pt>
                <c:pt idx="29">
                  <c:v>48</c:v>
                </c:pt>
                <c:pt idx="30">
                  <c:v>50</c:v>
                </c:pt>
                <c:pt idx="31">
                  <c:v>52</c:v>
                </c:pt>
                <c:pt idx="32">
                  <c:v>54</c:v>
                </c:pt>
                <c:pt idx="33">
                  <c:v>56</c:v>
                </c:pt>
                <c:pt idx="34">
                  <c:v>58</c:v>
                </c:pt>
                <c:pt idx="35">
                  <c:v>60</c:v>
                </c:pt>
                <c:pt idx="36">
                  <c:v>62</c:v>
                </c:pt>
                <c:pt idx="37">
                  <c:v>64</c:v>
                </c:pt>
                <c:pt idx="38">
                  <c:v>66</c:v>
                </c:pt>
                <c:pt idx="39">
                  <c:v>68</c:v>
                </c:pt>
                <c:pt idx="40">
                  <c:v>70</c:v>
                </c:pt>
                <c:pt idx="41">
                  <c:v>72</c:v>
                </c:pt>
                <c:pt idx="42">
                  <c:v>74</c:v>
                </c:pt>
                <c:pt idx="43">
                  <c:v>76</c:v>
                </c:pt>
                <c:pt idx="44">
                  <c:v>78</c:v>
                </c:pt>
                <c:pt idx="45">
                  <c:v>80</c:v>
                </c:pt>
                <c:pt idx="46">
                  <c:v>82</c:v>
                </c:pt>
                <c:pt idx="47">
                  <c:v>84</c:v>
                </c:pt>
                <c:pt idx="48">
                  <c:v>86</c:v>
                </c:pt>
                <c:pt idx="49">
                  <c:v>86.5</c:v>
                </c:pt>
                <c:pt idx="50">
                  <c:v>87</c:v>
                </c:pt>
                <c:pt idx="51">
                  <c:v>87.5</c:v>
                </c:pt>
                <c:pt idx="52">
                  <c:v>88</c:v>
                </c:pt>
                <c:pt idx="53">
                  <c:v>88.5</c:v>
                </c:pt>
                <c:pt idx="54">
                  <c:v>89</c:v>
                </c:pt>
                <c:pt idx="55">
                  <c:v>89.5</c:v>
                </c:pt>
                <c:pt idx="56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E330-4B5A-8A0D-962D7D021394}"/>
            </c:ext>
          </c:extLst>
        </c:ser>
        <c:ser>
          <c:idx val="6"/>
          <c:order val="6"/>
          <c:tx>
            <c:strRef>
              <c:f>xlv!$J$3</c:f>
              <c:strCache>
                <c:ptCount val="1"/>
                <c:pt idx="0">
                  <c:v>θ = 30°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xlv!$J$5:$J$61</c:f>
              <c:numCache>
                <c:formatCode>0.0000</c:formatCode>
                <c:ptCount val="57"/>
                <c:pt idx="28">
                  <c:v>3.8221274100068467</c:v>
                </c:pt>
                <c:pt idx="29">
                  <c:v>3.4620718237275314</c:v>
                </c:pt>
                <c:pt idx="30">
                  <c:v>3.1992888429665518</c:v>
                </c:pt>
                <c:pt idx="31">
                  <c:v>3.0011927055510532</c:v>
                </c:pt>
                <c:pt idx="32">
                  <c:v>2.8494662829963162</c:v>
                </c:pt>
                <c:pt idx="33">
                  <c:v>2.7331174760389811</c:v>
                </c:pt>
                <c:pt idx="34">
                  <c:v>2.6453427613917979</c:v>
                </c:pt>
                <c:pt idx="35">
                  <c:v>2.5819887618027759</c:v>
                </c:pt>
                <c:pt idx="36">
                  <c:v>2.5407827575456312</c:v>
                </c:pt>
                <c:pt idx="37">
                  <c:v>2.5209972732118446</c:v>
                </c:pt>
                <c:pt idx="38">
                  <c:v>2.5234289568323902</c:v>
                </c:pt>
                <c:pt idx="39">
                  <c:v>2.5507052433863078</c:v>
                </c:pt>
                <c:pt idx="40">
                  <c:v>2.6080850370140976</c:v>
                </c:pt>
                <c:pt idx="41">
                  <c:v>2.7052250375964713</c:v>
                </c:pt>
                <c:pt idx="42">
                  <c:v>2.8602096520288152</c:v>
                </c:pt>
                <c:pt idx="43">
                  <c:v>3.1099050822289231</c:v>
                </c:pt>
                <c:pt idx="44">
                  <c:v>3.5425914720401246</c:v>
                </c:pt>
              </c:numCache>
            </c:numRef>
          </c:xVal>
          <c:yVal>
            <c:numRef>
              <c:f>xlv!$B$5:$B$61</c:f>
              <c:numCache>
                <c:formatCode>General</c:formatCode>
                <c:ptCount val="57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22</c:v>
                </c:pt>
                <c:pt idx="17">
                  <c:v>24</c:v>
                </c:pt>
                <c:pt idx="18">
                  <c:v>26</c:v>
                </c:pt>
                <c:pt idx="19">
                  <c:v>28</c:v>
                </c:pt>
                <c:pt idx="20">
                  <c:v>30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42</c:v>
                </c:pt>
                <c:pt idx="27">
                  <c:v>44</c:v>
                </c:pt>
                <c:pt idx="28">
                  <c:v>46</c:v>
                </c:pt>
                <c:pt idx="29">
                  <c:v>48</c:v>
                </c:pt>
                <c:pt idx="30">
                  <c:v>50</c:v>
                </c:pt>
                <c:pt idx="31">
                  <c:v>52</c:v>
                </c:pt>
                <c:pt idx="32">
                  <c:v>54</c:v>
                </c:pt>
                <c:pt idx="33">
                  <c:v>56</c:v>
                </c:pt>
                <c:pt idx="34">
                  <c:v>58</c:v>
                </c:pt>
                <c:pt idx="35">
                  <c:v>60</c:v>
                </c:pt>
                <c:pt idx="36">
                  <c:v>62</c:v>
                </c:pt>
                <c:pt idx="37">
                  <c:v>64</c:v>
                </c:pt>
                <c:pt idx="38">
                  <c:v>66</c:v>
                </c:pt>
                <c:pt idx="39">
                  <c:v>68</c:v>
                </c:pt>
                <c:pt idx="40">
                  <c:v>70</c:v>
                </c:pt>
                <c:pt idx="41">
                  <c:v>72</c:v>
                </c:pt>
                <c:pt idx="42">
                  <c:v>74</c:v>
                </c:pt>
                <c:pt idx="43">
                  <c:v>76</c:v>
                </c:pt>
                <c:pt idx="44">
                  <c:v>78</c:v>
                </c:pt>
                <c:pt idx="45">
                  <c:v>80</c:v>
                </c:pt>
                <c:pt idx="46">
                  <c:v>82</c:v>
                </c:pt>
                <c:pt idx="47">
                  <c:v>84</c:v>
                </c:pt>
                <c:pt idx="48">
                  <c:v>86</c:v>
                </c:pt>
                <c:pt idx="49">
                  <c:v>86.5</c:v>
                </c:pt>
                <c:pt idx="50">
                  <c:v>87</c:v>
                </c:pt>
                <c:pt idx="51">
                  <c:v>87.5</c:v>
                </c:pt>
                <c:pt idx="52">
                  <c:v>88</c:v>
                </c:pt>
                <c:pt idx="53">
                  <c:v>88.5</c:v>
                </c:pt>
                <c:pt idx="54">
                  <c:v>89</c:v>
                </c:pt>
                <c:pt idx="55">
                  <c:v>89.5</c:v>
                </c:pt>
                <c:pt idx="56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E330-4B5A-8A0D-962D7D021394}"/>
            </c:ext>
          </c:extLst>
        </c:ser>
        <c:ser>
          <c:idx val="7"/>
          <c:order val="7"/>
          <c:tx>
            <c:strRef>
              <c:f>xlv!$K$3</c:f>
              <c:strCache>
                <c:ptCount val="1"/>
                <c:pt idx="0">
                  <c:v>θ = 35°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xlv!$K$5:$K$61</c:f>
              <c:numCache>
                <c:formatCode>0.0000</c:formatCode>
                <c:ptCount val="57"/>
                <c:pt idx="33">
                  <c:v>3.6253222002571763</c:v>
                </c:pt>
                <c:pt idx="34">
                  <c:v>3.4285273538580054</c:v>
                </c:pt>
                <c:pt idx="35">
                  <c:v>3.2915393311012617</c:v>
                </c:pt>
                <c:pt idx="36">
                  <c:v>3.2020766565224537</c:v>
                </c:pt>
                <c:pt idx="37">
                  <c:v>3.1541784675172209</c:v>
                </c:pt>
                <c:pt idx="38">
                  <c:v>3.1465484426069574</c:v>
                </c:pt>
                <c:pt idx="39">
                  <c:v>3.1824655679786535</c:v>
                </c:pt>
                <c:pt idx="40">
                  <c:v>3.2712971917301483</c:v>
                </c:pt>
                <c:pt idx="41">
                  <c:v>3.4329106570436028</c:v>
                </c:pt>
                <c:pt idx="42">
                  <c:v>3.7096436402890993</c:v>
                </c:pt>
              </c:numCache>
            </c:numRef>
          </c:xVal>
          <c:yVal>
            <c:numRef>
              <c:f>xlv!$B$5:$B$61</c:f>
              <c:numCache>
                <c:formatCode>General</c:formatCode>
                <c:ptCount val="57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22</c:v>
                </c:pt>
                <c:pt idx="17">
                  <c:v>24</c:v>
                </c:pt>
                <c:pt idx="18">
                  <c:v>26</c:v>
                </c:pt>
                <c:pt idx="19">
                  <c:v>28</c:v>
                </c:pt>
                <c:pt idx="20">
                  <c:v>30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42</c:v>
                </c:pt>
                <c:pt idx="27">
                  <c:v>44</c:v>
                </c:pt>
                <c:pt idx="28">
                  <c:v>46</c:v>
                </c:pt>
                <c:pt idx="29">
                  <c:v>48</c:v>
                </c:pt>
                <c:pt idx="30">
                  <c:v>50</c:v>
                </c:pt>
                <c:pt idx="31">
                  <c:v>52</c:v>
                </c:pt>
                <c:pt idx="32">
                  <c:v>54</c:v>
                </c:pt>
                <c:pt idx="33">
                  <c:v>56</c:v>
                </c:pt>
                <c:pt idx="34">
                  <c:v>58</c:v>
                </c:pt>
                <c:pt idx="35">
                  <c:v>60</c:v>
                </c:pt>
                <c:pt idx="36">
                  <c:v>62</c:v>
                </c:pt>
                <c:pt idx="37">
                  <c:v>64</c:v>
                </c:pt>
                <c:pt idx="38">
                  <c:v>66</c:v>
                </c:pt>
                <c:pt idx="39">
                  <c:v>68</c:v>
                </c:pt>
                <c:pt idx="40">
                  <c:v>70</c:v>
                </c:pt>
                <c:pt idx="41">
                  <c:v>72</c:v>
                </c:pt>
                <c:pt idx="42">
                  <c:v>74</c:v>
                </c:pt>
                <c:pt idx="43">
                  <c:v>76</c:v>
                </c:pt>
                <c:pt idx="44">
                  <c:v>78</c:v>
                </c:pt>
                <c:pt idx="45">
                  <c:v>80</c:v>
                </c:pt>
                <c:pt idx="46">
                  <c:v>82</c:v>
                </c:pt>
                <c:pt idx="47">
                  <c:v>84</c:v>
                </c:pt>
                <c:pt idx="48">
                  <c:v>86</c:v>
                </c:pt>
                <c:pt idx="49">
                  <c:v>86.5</c:v>
                </c:pt>
                <c:pt idx="50">
                  <c:v>87</c:v>
                </c:pt>
                <c:pt idx="51">
                  <c:v>87.5</c:v>
                </c:pt>
                <c:pt idx="52">
                  <c:v>88</c:v>
                </c:pt>
                <c:pt idx="53">
                  <c:v>88.5</c:v>
                </c:pt>
                <c:pt idx="54">
                  <c:v>89</c:v>
                </c:pt>
                <c:pt idx="55">
                  <c:v>89.5</c:v>
                </c:pt>
                <c:pt idx="56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E330-4B5A-8A0D-962D7D021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764384"/>
        <c:axId val="1903764864"/>
      </c:scatterChart>
      <c:valAx>
        <c:axId val="1903764384"/>
        <c:scaling>
          <c:orientation val="minMax"/>
          <c:max val="3.5"/>
          <c:min val="1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CMU Serif" panose="02000603000000000000" pitchFamily="2" charset="0"/>
                    <a:ea typeface="CMU Serif" panose="02000603000000000000" pitchFamily="2" charset="0"/>
                    <a:cs typeface="CMU Serif" panose="02000603000000000000" pitchFamily="2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Diagramm xlv                                                    Ma</a:t>
                </a:r>
                <a:r>
                  <a:rPr lang="de-DE" baseline="-25000">
                    <a:solidFill>
                      <a:sysClr val="windowText" lastClr="000000"/>
                    </a:solidFill>
                  </a:rPr>
                  <a:t>1</a:t>
                </a:r>
                <a:r>
                  <a:rPr lang="de-DE" i="1">
                    <a:solidFill>
                      <a:sysClr val="windowText" lastClr="000000"/>
                    </a:solidFill>
                  </a:rPr>
                  <a:t> 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[</a:t>
                </a:r>
                <a:r>
                  <a:rPr lang="de-DE" sz="500" i="0">
                    <a:solidFill>
                      <a:sysClr val="windowText" lastClr="000000"/>
                    </a:solidFill>
                  </a:rPr>
                  <a:t>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-</a:t>
                </a:r>
                <a:r>
                  <a:rPr lang="de-DE" sz="500" i="0">
                    <a:solidFill>
                      <a:sysClr val="windowText" lastClr="000000"/>
                    </a:solidFill>
                  </a:rPr>
                  <a:t>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2.1526300317190154E-2"/>
              <c:y val="0.967472135218919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defRPr>
              </a:pPr>
              <a:endParaRPr lang="de-DE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864"/>
        <c:crosses val="autoZero"/>
        <c:crossBetween val="midCat"/>
        <c:majorUnit val="0.2"/>
        <c:minorUnit val="5.000000000000001E-2"/>
      </c:valAx>
      <c:valAx>
        <c:axId val="1903764864"/>
        <c:scaling>
          <c:orientation val="minMax"/>
          <c:max val="90"/>
          <c:min val="10"/>
        </c:scaling>
        <c:delete val="0"/>
        <c:axPos val="l"/>
        <c:majorGridlines>
          <c:spPr>
            <a:ln w="9525" cap="rnd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384"/>
        <c:crosses val="autoZero"/>
        <c:crossBetween val="midCat"/>
        <c:majorUnit val="2"/>
        <c:minorUnit val="1"/>
      </c:valAx>
      <c:spPr>
        <a:noFill/>
        <a:ln cap="rnd">
          <a:solidFill>
            <a:schemeClr val="tx1">
              <a:lumMod val="15000"/>
              <a:lumOff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MU Serif" panose="02000603000000000000" pitchFamily="2" charset="0"/>
          <a:ea typeface="CMU Serif" panose="02000603000000000000" pitchFamily="2" charset="0"/>
          <a:cs typeface="CMU Serif" panose="02000603000000000000" pitchFamily="2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01724072483124"/>
          <c:y val="1.4263741923879563E-2"/>
          <c:w val="0.8602328428767283"/>
          <c:h val="0.9261332321019686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xlvi!$C$3</c:f>
              <c:strCache>
                <c:ptCount val="1"/>
                <c:pt idx="0">
                  <c:v>θ = 0°</c:v>
                </c:pt>
              </c:strCache>
            </c:strRef>
          </c:tx>
          <c:spPr>
            <a:ln w="158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xlvi!$B$6:$B$56</c:f>
              <c:numCache>
                <c:formatCode>0.00</c:formatCode>
                <c:ptCount val="51"/>
                <c:pt idx="0">
                  <c:v>1</c:v>
                </c:pt>
                <c:pt idx="1">
                  <c:v>1.05</c:v>
                </c:pt>
                <c:pt idx="2">
                  <c:v>1.1000000000000001</c:v>
                </c:pt>
                <c:pt idx="3">
                  <c:v>1.1499999999999999</c:v>
                </c:pt>
                <c:pt idx="4">
                  <c:v>1.2</c:v>
                </c:pt>
                <c:pt idx="5">
                  <c:v>1.25</c:v>
                </c:pt>
                <c:pt idx="6">
                  <c:v>1.3</c:v>
                </c:pt>
                <c:pt idx="7">
                  <c:v>1.35</c:v>
                </c:pt>
                <c:pt idx="8">
                  <c:v>1.4</c:v>
                </c:pt>
                <c:pt idx="9">
                  <c:v>1.45</c:v>
                </c:pt>
                <c:pt idx="10">
                  <c:v>1.5</c:v>
                </c:pt>
                <c:pt idx="11">
                  <c:v>1.55</c:v>
                </c:pt>
                <c:pt idx="12">
                  <c:v>1.6</c:v>
                </c:pt>
                <c:pt idx="13">
                  <c:v>1.65</c:v>
                </c:pt>
                <c:pt idx="14">
                  <c:v>1.7</c:v>
                </c:pt>
                <c:pt idx="15">
                  <c:v>1.75</c:v>
                </c:pt>
                <c:pt idx="16">
                  <c:v>1.8</c:v>
                </c:pt>
                <c:pt idx="17">
                  <c:v>1.85</c:v>
                </c:pt>
                <c:pt idx="18">
                  <c:v>1.9</c:v>
                </c:pt>
                <c:pt idx="19">
                  <c:v>1.95</c:v>
                </c:pt>
                <c:pt idx="20">
                  <c:v>2</c:v>
                </c:pt>
                <c:pt idx="21">
                  <c:v>2.0499999999999998</c:v>
                </c:pt>
                <c:pt idx="22">
                  <c:v>2.1</c:v>
                </c:pt>
                <c:pt idx="23">
                  <c:v>2.15</c:v>
                </c:pt>
                <c:pt idx="24">
                  <c:v>2.2000000000000002</c:v>
                </c:pt>
                <c:pt idx="25">
                  <c:v>2.25</c:v>
                </c:pt>
                <c:pt idx="26">
                  <c:v>2.2999999999999998</c:v>
                </c:pt>
                <c:pt idx="27">
                  <c:v>2.35</c:v>
                </c:pt>
                <c:pt idx="28">
                  <c:v>2.4</c:v>
                </c:pt>
                <c:pt idx="29">
                  <c:v>2.4500000000000002</c:v>
                </c:pt>
                <c:pt idx="30">
                  <c:v>2.5</c:v>
                </c:pt>
                <c:pt idx="31">
                  <c:v>2.5499999999999998</c:v>
                </c:pt>
                <c:pt idx="32">
                  <c:v>2.6</c:v>
                </c:pt>
                <c:pt idx="33">
                  <c:v>2.65</c:v>
                </c:pt>
                <c:pt idx="34">
                  <c:v>2.7</c:v>
                </c:pt>
                <c:pt idx="35">
                  <c:v>2.75</c:v>
                </c:pt>
                <c:pt idx="36">
                  <c:v>2.8</c:v>
                </c:pt>
                <c:pt idx="37">
                  <c:v>2.85</c:v>
                </c:pt>
                <c:pt idx="38">
                  <c:v>2.9</c:v>
                </c:pt>
                <c:pt idx="39">
                  <c:v>2.95</c:v>
                </c:pt>
                <c:pt idx="40">
                  <c:v>3</c:v>
                </c:pt>
                <c:pt idx="41">
                  <c:v>3.05</c:v>
                </c:pt>
                <c:pt idx="42">
                  <c:v>3.1</c:v>
                </c:pt>
                <c:pt idx="43">
                  <c:v>3.15</c:v>
                </c:pt>
                <c:pt idx="44">
                  <c:v>3.2</c:v>
                </c:pt>
                <c:pt idx="45">
                  <c:v>3.25</c:v>
                </c:pt>
                <c:pt idx="46">
                  <c:v>3.3</c:v>
                </c:pt>
                <c:pt idx="47">
                  <c:v>3.35</c:v>
                </c:pt>
                <c:pt idx="48">
                  <c:v>3.4</c:v>
                </c:pt>
                <c:pt idx="49">
                  <c:v>3.45</c:v>
                </c:pt>
                <c:pt idx="50">
                  <c:v>3.5</c:v>
                </c:pt>
              </c:numCache>
            </c:numRef>
          </c:xVal>
          <c:yVal>
            <c:numRef>
              <c:f>xlvi!$C$6:$C$56</c:f>
              <c:numCache>
                <c:formatCode>0.0000</c:formatCode>
                <c:ptCount val="51"/>
                <c:pt idx="0">
                  <c:v>1</c:v>
                </c:pt>
                <c:pt idx="1">
                  <c:v>0.99985299009517314</c:v>
                </c:pt>
                <c:pt idx="2">
                  <c:v>0.99892801531447117</c:v>
                </c:pt>
                <c:pt idx="3">
                  <c:v>0.99668975878988608</c:v>
                </c:pt>
                <c:pt idx="4">
                  <c:v>0.99279839769936207</c:v>
                </c:pt>
                <c:pt idx="5">
                  <c:v>0.98705677037193806</c:v>
                </c:pt>
                <c:pt idx="6">
                  <c:v>0.97937364894321854</c:v>
                </c:pt>
                <c:pt idx="7">
                  <c:v>0.96973709318744861</c:v>
                </c:pt>
                <c:pt idx="8">
                  <c:v>0.95819441491554602</c:v>
                </c:pt>
                <c:pt idx="9">
                  <c:v>0.94483668541179422</c:v>
                </c:pt>
                <c:pt idx="10">
                  <c:v>0.92978651228282927</c:v>
                </c:pt>
                <c:pt idx="11">
                  <c:v>0.91318827243034917</c:v>
                </c:pt>
                <c:pt idx="12">
                  <c:v>0.89520026046533652</c:v>
                </c:pt>
                <c:pt idx="13">
                  <c:v>0.87598837652705697</c:v>
                </c:pt>
                <c:pt idx="14">
                  <c:v>0.85572107902379757</c:v>
                </c:pt>
                <c:pt idx="15">
                  <c:v>0.83456539208449942</c:v>
                </c:pt>
                <c:pt idx="16">
                  <c:v>0.81268379959868853</c:v>
                </c:pt>
                <c:pt idx="17">
                  <c:v>0.79023188655348287</c:v>
                </c:pt>
                <c:pt idx="18">
                  <c:v>0.76735660925323457</c:v>
                </c:pt>
                <c:pt idx="19">
                  <c:v>0.74419509207184276</c:v>
                </c:pt>
                <c:pt idx="20">
                  <c:v>0.72087386148474575</c:v>
                </c:pt>
                <c:pt idx="21">
                  <c:v>0.69750843932096973</c:v>
                </c:pt>
                <c:pt idx="22">
                  <c:v>0.67420322706305214</c:v>
                </c:pt>
                <c:pt idx="23">
                  <c:v>0.65105162192761434</c:v>
                </c:pt>
                <c:pt idx="24">
                  <c:v>0.62813631354919564</c:v>
                </c:pt>
                <c:pt idx="25">
                  <c:v>0.60552971744757467</c:v>
                </c:pt>
                <c:pt idx="26">
                  <c:v>0.58329450812554562</c:v>
                </c:pt>
                <c:pt idx="27">
                  <c:v>0.56148422064455572</c:v>
                </c:pt>
                <c:pt idx="28">
                  <c:v>0.54014389488089332</c:v>
                </c:pt>
                <c:pt idx="29">
                  <c:v>0.51931074139979472</c:v>
                </c:pt>
                <c:pt idx="30">
                  <c:v>0.49901481202915121</c:v>
                </c:pt>
                <c:pt idx="31">
                  <c:v>0.47927966180462583</c:v>
                </c:pt>
                <c:pt idx="32">
                  <c:v>0.4601229920348951</c:v>
                </c:pt>
                <c:pt idx="33">
                  <c:v>0.44155726684386321</c:v>
                </c:pt>
                <c:pt idx="34">
                  <c:v>0.4235902977319202</c:v>
                </c:pt>
                <c:pt idx="35">
                  <c:v>0.4062257925068673</c:v>
                </c:pt>
                <c:pt idx="36">
                  <c:v>0.38946386641192116</c:v>
                </c:pt>
                <c:pt idx="37">
                  <c:v>0.37330151446622861</c:v>
                </c:pt>
                <c:pt idx="38">
                  <c:v>0.35773304497254471</c:v>
                </c:pt>
                <c:pt idx="39">
                  <c:v>0.34275047487402643</c:v>
                </c:pt>
                <c:pt idx="40">
                  <c:v>0.32834388819073695</c:v>
                </c:pt>
                <c:pt idx="41">
                  <c:v>0.3145017591661417</c:v>
                </c:pt>
                <c:pt idx="42">
                  <c:v>0.30121124203081562</c:v>
                </c:pt>
                <c:pt idx="43">
                  <c:v>0.28845842946759725</c:v>
                </c:pt>
                <c:pt idx="44">
                  <c:v>0.27622858195917344</c:v>
                </c:pt>
                <c:pt idx="45">
                  <c:v>0.26450633023243536</c:v>
                </c:pt>
                <c:pt idx="46">
                  <c:v>0.25327585299801569</c:v>
                </c:pt>
                <c:pt idx="47">
                  <c:v>0.24252103213017481</c:v>
                </c:pt>
                <c:pt idx="48">
                  <c:v>0.23222558735142332</c:v>
                </c:pt>
                <c:pt idx="49">
                  <c:v>0.22237319238607181</c:v>
                </c:pt>
                <c:pt idx="50">
                  <c:v>0.2129475744338053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5DF-4DDA-8898-9A5D68691E96}"/>
            </c:ext>
          </c:extLst>
        </c:ser>
        <c:ser>
          <c:idx val="1"/>
          <c:order val="1"/>
          <c:tx>
            <c:strRef>
              <c:f>xlvi!$E$3</c:f>
              <c:strCache>
                <c:ptCount val="1"/>
                <c:pt idx="0">
                  <c:v>θ = 5°</c:v>
                </c:pt>
              </c:strCache>
            </c:strRef>
          </c:tx>
          <c:spPr>
            <a:ln w="158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xlvi!$D$6:$D$74</c:f>
              <c:numCache>
                <c:formatCode>0.000</c:formatCode>
                <c:ptCount val="69"/>
                <c:pt idx="2">
                  <c:v>3.5</c:v>
                </c:pt>
                <c:pt idx="3">
                  <c:v>3.5</c:v>
                </c:pt>
                <c:pt idx="4">
                  <c:v>3</c:v>
                </c:pt>
                <c:pt idx="5">
                  <c:v>2.5</c:v>
                </c:pt>
                <c:pt idx="6">
                  <c:v>2</c:v>
                </c:pt>
                <c:pt idx="7">
                  <c:v>1.8</c:v>
                </c:pt>
                <c:pt idx="8">
                  <c:v>1.6</c:v>
                </c:pt>
                <c:pt idx="9">
                  <c:v>1.3</c:v>
                </c:pt>
                <c:pt idx="10">
                  <c:v>1.24</c:v>
                </c:pt>
                <c:pt idx="11">
                  <c:v>1.3</c:v>
                </c:pt>
                <c:pt idx="12">
                  <c:v>1.4</c:v>
                </c:pt>
                <c:pt idx="13">
                  <c:v>1.5</c:v>
                </c:pt>
                <c:pt idx="14">
                  <c:v>1.6</c:v>
                </c:pt>
                <c:pt idx="15">
                  <c:v>1.7</c:v>
                </c:pt>
                <c:pt idx="16">
                  <c:v>1.8</c:v>
                </c:pt>
                <c:pt idx="17">
                  <c:v>1.9</c:v>
                </c:pt>
                <c:pt idx="18">
                  <c:v>2</c:v>
                </c:pt>
                <c:pt idx="19">
                  <c:v>2.1</c:v>
                </c:pt>
                <c:pt idx="20">
                  <c:v>2.2000000000000002</c:v>
                </c:pt>
                <c:pt idx="21">
                  <c:v>2.2999999999999998</c:v>
                </c:pt>
                <c:pt idx="22">
                  <c:v>2.4</c:v>
                </c:pt>
                <c:pt idx="23">
                  <c:v>2.5</c:v>
                </c:pt>
                <c:pt idx="24">
                  <c:v>2.6</c:v>
                </c:pt>
                <c:pt idx="25">
                  <c:v>2.7</c:v>
                </c:pt>
                <c:pt idx="26">
                  <c:v>2.8</c:v>
                </c:pt>
                <c:pt idx="27">
                  <c:v>2.9</c:v>
                </c:pt>
                <c:pt idx="28">
                  <c:v>3</c:v>
                </c:pt>
                <c:pt idx="29">
                  <c:v>3.1</c:v>
                </c:pt>
                <c:pt idx="30">
                  <c:v>3.2</c:v>
                </c:pt>
                <c:pt idx="31">
                  <c:v>3.3</c:v>
                </c:pt>
                <c:pt idx="32">
                  <c:v>3.4</c:v>
                </c:pt>
                <c:pt idx="33">
                  <c:v>3.5</c:v>
                </c:pt>
              </c:numCache>
            </c:numRef>
          </c:xVal>
          <c:yVal>
            <c:numRef>
              <c:f>xlvi!$E$6:$E$74</c:f>
              <c:numCache>
                <c:formatCode>0.0000</c:formatCode>
                <c:ptCount val="69"/>
                <c:pt idx="2">
                  <c:v>0.99199999999999999</c:v>
                </c:pt>
                <c:pt idx="3">
                  <c:v>0.99199999999999999</c:v>
                </c:pt>
                <c:pt idx="4">
                  <c:v>0.99480000000000002</c:v>
                </c:pt>
                <c:pt idx="5">
                  <c:v>0.997</c:v>
                </c:pt>
                <c:pt idx="6">
                  <c:v>0.99860000000000004</c:v>
                </c:pt>
                <c:pt idx="7">
                  <c:v>0.999</c:v>
                </c:pt>
                <c:pt idx="8">
                  <c:v>0.99909999999999999</c:v>
                </c:pt>
                <c:pt idx="9">
                  <c:v>0.99860000000000004</c:v>
                </c:pt>
                <c:pt idx="10">
                  <c:v>0.99529999999999996</c:v>
                </c:pt>
                <c:pt idx="11">
                  <c:v>0.98199999999999998</c:v>
                </c:pt>
                <c:pt idx="12">
                  <c:v>0.96099999999999997</c:v>
                </c:pt>
                <c:pt idx="13">
                  <c:v>0.93097323536631904</c:v>
                </c:pt>
                <c:pt idx="14">
                  <c:v>0.89668953855954769</c:v>
                </c:pt>
                <c:pt idx="15">
                  <c:v>0.85748419479104809</c:v>
                </c:pt>
                <c:pt idx="16">
                  <c:v>0.81468275132784285</c:v>
                </c:pt>
                <c:pt idx="17">
                  <c:v>0.76954852360491333</c:v>
                </c:pt>
                <c:pt idx="18">
                  <c:v>0.72321447596145572</c:v>
                </c:pt>
                <c:pt idx="19">
                  <c:v>0.67664948152984683</c:v>
                </c:pt>
                <c:pt idx="20">
                  <c:v>0.63064814286359361</c:v>
                </c:pt>
                <c:pt idx="21">
                  <c:v>0.58583596022247098</c:v>
                </c:pt>
                <c:pt idx="22">
                  <c:v>0.54268371015872352</c:v>
                </c:pt>
                <c:pt idx="23">
                  <c:v>0.50152659551146428</c:v>
                </c:pt>
                <c:pt idx="24">
                  <c:v>0.46258509546384113</c:v>
                </c:pt>
                <c:pt idx="25">
                  <c:v>0.42598550959557474</c:v>
                </c:pt>
                <c:pt idx="26">
                  <c:v>0.39177898764171454</c:v>
                </c:pt>
                <c:pt idx="27">
                  <c:v>0.3599584090233614</c:v>
                </c:pt>
                <c:pt idx="28">
                  <c:v>0.33047286769050638</c:v>
                </c:pt>
                <c:pt idx="29">
                  <c:v>0.3032397706324319</c:v>
                </c:pt>
                <c:pt idx="30">
                  <c:v>0.27815470942422532</c:v>
                </c:pt>
                <c:pt idx="31">
                  <c:v>0.25509934359305275</c:v>
                </c:pt>
                <c:pt idx="32">
                  <c:v>0.23394756592546659</c:v>
                </c:pt>
                <c:pt idx="33">
                  <c:v>0.21457022062792372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5DF-4DDA-8898-9A5D68691E96}"/>
            </c:ext>
          </c:extLst>
        </c:ser>
        <c:ser>
          <c:idx val="2"/>
          <c:order val="2"/>
          <c:tx>
            <c:strRef>
              <c:f>xlvi!$G$3</c:f>
              <c:strCache>
                <c:ptCount val="1"/>
                <c:pt idx="0">
                  <c:v>θ = 10°</c:v>
                </c:pt>
              </c:strCache>
            </c:strRef>
          </c:tx>
          <c:spPr>
            <a:ln w="158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xlvi!$F$6:$F$56</c:f>
              <c:numCache>
                <c:formatCode>0.000</c:formatCode>
                <c:ptCount val="51"/>
                <c:pt idx="2">
                  <c:v>3.5</c:v>
                </c:pt>
                <c:pt idx="3">
                  <c:v>3</c:v>
                </c:pt>
                <c:pt idx="4">
                  <c:v>2.5</c:v>
                </c:pt>
                <c:pt idx="5">
                  <c:v>2</c:v>
                </c:pt>
                <c:pt idx="6">
                  <c:v>1.8</c:v>
                </c:pt>
                <c:pt idx="7">
                  <c:v>1.6</c:v>
                </c:pt>
                <c:pt idx="8">
                  <c:v>1.47</c:v>
                </c:pt>
                <c:pt idx="9">
                  <c:v>1.42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</c:numCache>
            </c:numRef>
          </c:xVal>
          <c:yVal>
            <c:numRef>
              <c:f>xlvi!$G$6:$G$56</c:f>
              <c:numCache>
                <c:formatCode>0.0000</c:formatCode>
                <c:ptCount val="51"/>
                <c:pt idx="2">
                  <c:v>0.94699999999999995</c:v>
                </c:pt>
                <c:pt idx="3">
                  <c:v>0.96299999999999997</c:v>
                </c:pt>
                <c:pt idx="4">
                  <c:v>0.97599999999999998</c:v>
                </c:pt>
                <c:pt idx="5">
                  <c:v>0.98509999999999998</c:v>
                </c:pt>
                <c:pt idx="6">
                  <c:v>0.98719999999999997</c:v>
                </c:pt>
                <c:pt idx="7">
                  <c:v>0.98839999999999995</c:v>
                </c:pt>
                <c:pt idx="8">
                  <c:v>0.98670000000000002</c:v>
                </c:pt>
                <c:pt idx="9">
                  <c:v>0.97499999999999998</c:v>
                </c:pt>
                <c:pt idx="10">
                  <c:v>0.94299999999999995</c:v>
                </c:pt>
                <c:pt idx="11">
                  <c:v>0.90639999999999998</c:v>
                </c:pt>
                <c:pt idx="12">
                  <c:v>0.86599999999999999</c:v>
                </c:pt>
                <c:pt idx="13">
                  <c:v>0.82199999999999995</c:v>
                </c:pt>
                <c:pt idx="14">
                  <c:v>0.77271704449629175</c:v>
                </c:pt>
                <c:pt idx="15">
                  <c:v>0.72660209482121385</c:v>
                </c:pt>
                <c:pt idx="16">
                  <c:v>0.68019385655875653</c:v>
                </c:pt>
                <c:pt idx="17">
                  <c:v>0.63429111067139099</c:v>
                </c:pt>
                <c:pt idx="18">
                  <c:v>0.5895251960035558</c:v>
                </c:pt>
                <c:pt idx="19">
                  <c:v>0.54637360468298235</c:v>
                </c:pt>
                <c:pt idx="20">
                  <c:v>0.50517853734810947</c:v>
                </c:pt>
                <c:pt idx="21">
                  <c:v>0.46616732721433957</c:v>
                </c:pt>
                <c:pt idx="22">
                  <c:v>0.4294726999735734</c:v>
                </c:pt>
                <c:pt idx="23">
                  <c:v>0.39515163240801376</c:v>
                </c:pt>
                <c:pt idx="24">
                  <c:v>0.36320214652323718</c:v>
                </c:pt>
                <c:pt idx="25">
                  <c:v>0.33357777092578467</c:v>
                </c:pt>
                <c:pt idx="26">
                  <c:v>0.30619965817406303</c:v>
                </c:pt>
                <c:pt idx="27">
                  <c:v>0.2809665020476706</c:v>
                </c:pt>
                <c:pt idx="28">
                  <c:v>0.25776248190390483</c:v>
                </c:pt>
                <c:pt idx="29">
                  <c:v>0.23646349585475601</c:v>
                </c:pt>
                <c:pt idx="30">
                  <c:v>0.21694194788937024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5DF-4DDA-8898-9A5D68691E96}"/>
            </c:ext>
          </c:extLst>
        </c:ser>
        <c:ser>
          <c:idx val="3"/>
          <c:order val="3"/>
          <c:tx>
            <c:strRef>
              <c:f>xlvi!$I$3</c:f>
              <c:strCache>
                <c:ptCount val="1"/>
                <c:pt idx="0">
                  <c:v>θ = 15°</c:v>
                </c:pt>
              </c:strCache>
            </c:strRef>
          </c:tx>
          <c:spPr>
            <a:ln w="158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xlvi!$H$6:$H$56</c:f>
              <c:numCache>
                <c:formatCode>0.000</c:formatCode>
                <c:ptCount val="51"/>
                <c:pt idx="3">
                  <c:v>3.5</c:v>
                </c:pt>
                <c:pt idx="4">
                  <c:v>3</c:v>
                </c:pt>
                <c:pt idx="5">
                  <c:v>2.5</c:v>
                </c:pt>
                <c:pt idx="6">
                  <c:v>2.25</c:v>
                </c:pt>
                <c:pt idx="7">
                  <c:v>2</c:v>
                </c:pt>
                <c:pt idx="8">
                  <c:v>1.8</c:v>
                </c:pt>
                <c:pt idx="9">
                  <c:v>1.68</c:v>
                </c:pt>
                <c:pt idx="10">
                  <c:v>1.615</c:v>
                </c:pt>
                <c:pt idx="11">
                  <c:v>1.65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</c:numCache>
            </c:numRef>
          </c:xVal>
          <c:yVal>
            <c:numRef>
              <c:f>xlvi!$I$6:$I$56</c:f>
              <c:numCache>
                <c:formatCode>0.0000</c:formatCode>
                <c:ptCount val="51"/>
                <c:pt idx="3">
                  <c:v>0.85299999999999998</c:v>
                </c:pt>
                <c:pt idx="4">
                  <c:v>0.89549999999999996</c:v>
                </c:pt>
                <c:pt idx="5">
                  <c:v>0.92900000000000005</c:v>
                </c:pt>
                <c:pt idx="6">
                  <c:v>0.9425</c:v>
                </c:pt>
                <c:pt idx="7">
                  <c:v>0.95299999999999996</c:v>
                </c:pt>
                <c:pt idx="8">
                  <c:v>0.95730000000000004</c:v>
                </c:pt>
                <c:pt idx="9">
                  <c:v>0.95499999999999996</c:v>
                </c:pt>
                <c:pt idx="10">
                  <c:v>0.94</c:v>
                </c:pt>
                <c:pt idx="11">
                  <c:v>0.90900000000000003</c:v>
                </c:pt>
                <c:pt idx="12">
                  <c:v>0.88300000000000001</c:v>
                </c:pt>
                <c:pt idx="13">
                  <c:v>0.83499999999999996</c:v>
                </c:pt>
                <c:pt idx="14">
                  <c:v>0.78600000000000003</c:v>
                </c:pt>
                <c:pt idx="15">
                  <c:v>0.73699999999999999</c:v>
                </c:pt>
                <c:pt idx="16">
                  <c:v>0.68899999999999995</c:v>
                </c:pt>
                <c:pt idx="17">
                  <c:v>0.63954414111559987</c:v>
                </c:pt>
                <c:pt idx="18">
                  <c:v>0.59485187765508241</c:v>
                </c:pt>
                <c:pt idx="19">
                  <c:v>0.55170761073228358</c:v>
                </c:pt>
                <c:pt idx="20">
                  <c:v>0.51046350829404075</c:v>
                </c:pt>
                <c:pt idx="21">
                  <c:v>0.471356720670987</c:v>
                </c:pt>
                <c:pt idx="22">
                  <c:v>0.43452921921018928</c:v>
                </c:pt>
                <c:pt idx="23">
                  <c:v>0.4000463970508964</c:v>
                </c:pt>
                <c:pt idx="24">
                  <c:v>0.36791373024646179</c:v>
                </c:pt>
                <c:pt idx="25">
                  <c:v>0.33809119695554091</c:v>
                </c:pt>
                <c:pt idx="26">
                  <c:v>0.31050541521127234</c:v>
                </c:pt>
                <c:pt idx="27">
                  <c:v>0.28505962089186293</c:v>
                </c:pt>
                <c:pt idx="28">
                  <c:v>0.2616416961413689</c:v>
                </c:pt>
                <c:pt idx="29">
                  <c:v>0.2401304976683529</c:v>
                </c:pt>
                <c:pt idx="30">
                  <c:v>0.22040074148669114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15DF-4DDA-8898-9A5D68691E96}"/>
            </c:ext>
          </c:extLst>
        </c:ser>
        <c:ser>
          <c:idx val="4"/>
          <c:order val="4"/>
          <c:tx>
            <c:strRef>
              <c:f>xlvi!$K$3</c:f>
              <c:strCache>
                <c:ptCount val="1"/>
                <c:pt idx="0">
                  <c:v>θ = 20°</c:v>
                </c:pt>
              </c:strCache>
            </c:strRef>
          </c:tx>
          <c:spPr>
            <a:ln w="158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6"/>
            <c:marker>
              <c:symbol val="none"/>
            </c:marker>
            <c:bubble3D val="0"/>
            <c:spPr>
              <a:ln w="158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3391-4A54-B148-221C4E4D2299}"/>
              </c:ext>
            </c:extLst>
          </c:dPt>
          <c:xVal>
            <c:numRef>
              <c:f>xlvi!$J$6:$J$56</c:f>
              <c:numCache>
                <c:formatCode>0.000</c:formatCode>
                <c:ptCount val="51"/>
                <c:pt idx="5">
                  <c:v>3.5</c:v>
                </c:pt>
                <c:pt idx="6">
                  <c:v>3</c:v>
                </c:pt>
                <c:pt idx="7">
                  <c:v>2.5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</c:v>
                </c:pt>
                <c:pt idx="12">
                  <c:v>1.875</c:v>
                </c:pt>
                <c:pt idx="13">
                  <c:v>1.8380000000000001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</c:numCache>
            </c:numRef>
          </c:xVal>
          <c:yVal>
            <c:numRef>
              <c:f>xlvi!$K$6:$K$56</c:f>
              <c:numCache>
                <c:formatCode>0.0000</c:formatCode>
                <c:ptCount val="51"/>
                <c:pt idx="5">
                  <c:v>0.72799999999999998</c:v>
                </c:pt>
                <c:pt idx="6">
                  <c:v>0.79700000000000004</c:v>
                </c:pt>
                <c:pt idx="7">
                  <c:v>0.85499999999999998</c:v>
                </c:pt>
                <c:pt idx="8">
                  <c:v>0.874</c:v>
                </c:pt>
                <c:pt idx="9">
                  <c:v>0.88200000000000001</c:v>
                </c:pt>
                <c:pt idx="10">
                  <c:v>0.88900000000000001</c:v>
                </c:pt>
                <c:pt idx="11">
                  <c:v>0.89280000000000004</c:v>
                </c:pt>
                <c:pt idx="12">
                  <c:v>0.89</c:v>
                </c:pt>
                <c:pt idx="13">
                  <c:v>0.86899999999999999</c:v>
                </c:pt>
                <c:pt idx="14">
                  <c:v>0.81299999999999994</c:v>
                </c:pt>
                <c:pt idx="15">
                  <c:v>0.75600000000000001</c:v>
                </c:pt>
                <c:pt idx="16">
                  <c:v>0.70199999999999996</c:v>
                </c:pt>
                <c:pt idx="17">
                  <c:v>0.65100000000000002</c:v>
                </c:pt>
                <c:pt idx="18">
                  <c:v>0.60299999999999998</c:v>
                </c:pt>
                <c:pt idx="19">
                  <c:v>0.55679831860296347</c:v>
                </c:pt>
                <c:pt idx="20">
                  <c:v>0.51551387521716441</c:v>
                </c:pt>
                <c:pt idx="21">
                  <c:v>0.47632163636926</c:v>
                </c:pt>
                <c:pt idx="22">
                  <c:v>0.43937234568894878</c:v>
                </c:pt>
                <c:pt idx="23">
                  <c:v>0.40473941800707208</c:v>
                </c:pt>
                <c:pt idx="24">
                  <c:v>0.37243546307410436</c:v>
                </c:pt>
                <c:pt idx="25">
                  <c:v>0.34242665539444356</c:v>
                </c:pt>
                <c:pt idx="26">
                  <c:v>0.31464488394076012</c:v>
                </c:pt>
                <c:pt idx="27">
                  <c:v>0.28899778205713644</c:v>
                </c:pt>
                <c:pt idx="28">
                  <c:v>0.26537683152192743</c:v>
                </c:pt>
                <c:pt idx="29">
                  <c:v>0.24366377826453306</c:v>
                </c:pt>
                <c:pt idx="30">
                  <c:v>0.22373560792157701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91-4A54-B148-221C4E4D2299}"/>
            </c:ext>
          </c:extLst>
        </c:ser>
        <c:ser>
          <c:idx val="5"/>
          <c:order val="5"/>
          <c:tx>
            <c:strRef>
              <c:f>xlvi!$M$3</c:f>
              <c:strCache>
                <c:ptCount val="1"/>
                <c:pt idx="0">
                  <c:v>θ = 25°</c:v>
                </c:pt>
              </c:strCache>
            </c:strRef>
          </c:tx>
          <c:spPr>
            <a:ln w="158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xlvi!$L$6:$L$56</c:f>
              <c:numCache>
                <c:formatCode>0.000</c:formatCode>
                <c:ptCount val="51"/>
                <c:pt idx="7">
                  <c:v>3.5</c:v>
                </c:pt>
                <c:pt idx="8">
                  <c:v>3.1</c:v>
                </c:pt>
                <c:pt idx="9">
                  <c:v>2.8</c:v>
                </c:pt>
                <c:pt idx="10">
                  <c:v>2.5</c:v>
                </c:pt>
                <c:pt idx="11">
                  <c:v>2.4</c:v>
                </c:pt>
                <c:pt idx="12">
                  <c:v>2.2999999999999998</c:v>
                </c:pt>
                <c:pt idx="13">
                  <c:v>2.21</c:v>
                </c:pt>
                <c:pt idx="14">
                  <c:v>2.15</c:v>
                </c:pt>
                <c:pt idx="15">
                  <c:v>2.1259999999999999</c:v>
                </c:pt>
                <c:pt idx="16">
                  <c:v>2.15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</c:numCache>
            </c:numRef>
          </c:xVal>
          <c:yVal>
            <c:numRef>
              <c:f>xlvi!$M$6:$M$56</c:f>
              <c:numCache>
                <c:formatCode>0.0000</c:formatCode>
                <c:ptCount val="51"/>
                <c:pt idx="7">
                  <c:v>0.59150000000000003</c:v>
                </c:pt>
                <c:pt idx="8">
                  <c:v>0.66149999999999998</c:v>
                </c:pt>
                <c:pt idx="9">
                  <c:v>0.71199999999999997</c:v>
                </c:pt>
                <c:pt idx="10">
                  <c:v>0.75649999999999995</c:v>
                </c:pt>
                <c:pt idx="11">
                  <c:v>0.76880000000000004</c:v>
                </c:pt>
                <c:pt idx="12">
                  <c:v>0.77900000000000003</c:v>
                </c:pt>
                <c:pt idx="13">
                  <c:v>0.78300000000000003</c:v>
                </c:pt>
                <c:pt idx="14">
                  <c:v>0.77800000000000002</c:v>
                </c:pt>
                <c:pt idx="15">
                  <c:v>0.75900000000000001</c:v>
                </c:pt>
                <c:pt idx="16">
                  <c:v>0.72199999999999998</c:v>
                </c:pt>
                <c:pt idx="17">
                  <c:v>0.68600000000000005</c:v>
                </c:pt>
                <c:pt idx="18">
                  <c:v>0.627</c:v>
                </c:pt>
                <c:pt idx="19">
                  <c:v>0.57599999999999996</c:v>
                </c:pt>
                <c:pt idx="20">
                  <c:v>0.52900000000000003</c:v>
                </c:pt>
                <c:pt idx="21">
                  <c:v>0.48599999999999999</c:v>
                </c:pt>
                <c:pt idx="22">
                  <c:v>0.44700000000000001</c:v>
                </c:pt>
                <c:pt idx="23">
                  <c:v>0.41033107953838149</c:v>
                </c:pt>
                <c:pt idx="24">
                  <c:v>0.37782859158380155</c:v>
                </c:pt>
                <c:pt idx="25">
                  <c:v>0.34760260361838224</c:v>
                </c:pt>
                <c:pt idx="26">
                  <c:v>0.31959132110282829</c:v>
                </c:pt>
                <c:pt idx="27">
                  <c:v>0.29370766877237847</c:v>
                </c:pt>
                <c:pt idx="28">
                  <c:v>0.26984747848186424</c:v>
                </c:pt>
                <c:pt idx="29">
                  <c:v>0.24789600420801144</c:v>
                </c:pt>
                <c:pt idx="30">
                  <c:v>0.22773300220591197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FD-485D-972B-17E40096D1D1}"/>
            </c:ext>
          </c:extLst>
        </c:ser>
        <c:ser>
          <c:idx val="6"/>
          <c:order val="6"/>
          <c:tx>
            <c:strRef>
              <c:f>xlvi!$O$3</c:f>
              <c:strCache>
                <c:ptCount val="1"/>
                <c:pt idx="0">
                  <c:v>θ = 30°</c:v>
                </c:pt>
              </c:strCache>
            </c:strRef>
          </c:tx>
          <c:spPr>
            <a:ln w="158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xlvi!$N$6:$N$56</c:f>
              <c:numCache>
                <c:formatCode>0.000</c:formatCode>
                <c:ptCount val="51"/>
                <c:pt idx="13">
                  <c:v>3.5</c:v>
                </c:pt>
                <c:pt idx="14">
                  <c:v>3.3</c:v>
                </c:pt>
                <c:pt idx="15">
                  <c:v>3.1</c:v>
                </c:pt>
                <c:pt idx="16">
                  <c:v>2.9</c:v>
                </c:pt>
                <c:pt idx="17">
                  <c:v>2.7</c:v>
                </c:pt>
                <c:pt idx="18">
                  <c:v>2.5649999999999999</c:v>
                </c:pt>
                <c:pt idx="19">
                  <c:v>2.516</c:v>
                </c:pt>
                <c:pt idx="20">
                  <c:v>2.5499999999999998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</c:numCache>
            </c:numRef>
          </c:xVal>
          <c:yVal>
            <c:numRef>
              <c:f>xlvi!$O$6:$O$56</c:f>
              <c:numCache>
                <c:formatCode>0.0000</c:formatCode>
                <c:ptCount val="51"/>
                <c:pt idx="13">
                  <c:v>0.46500000000000002</c:v>
                </c:pt>
                <c:pt idx="14">
                  <c:v>0.5</c:v>
                </c:pt>
                <c:pt idx="15">
                  <c:v>0.53700000000000003</c:v>
                </c:pt>
                <c:pt idx="16">
                  <c:v>0.57250000000000001</c:v>
                </c:pt>
                <c:pt idx="17">
                  <c:v>0.60299999999999998</c:v>
                </c:pt>
                <c:pt idx="18">
                  <c:v>0.61199999999999999</c:v>
                </c:pt>
                <c:pt idx="19">
                  <c:v>0.59350000000000003</c:v>
                </c:pt>
                <c:pt idx="20">
                  <c:v>0.55400000000000005</c:v>
                </c:pt>
                <c:pt idx="21">
                  <c:v>0.52200000000000002</c:v>
                </c:pt>
                <c:pt idx="22">
                  <c:v>0.47199999999999998</c:v>
                </c:pt>
                <c:pt idx="23">
                  <c:v>0.42899999999999999</c:v>
                </c:pt>
                <c:pt idx="24">
                  <c:v>0.39100000000000001</c:v>
                </c:pt>
                <c:pt idx="25">
                  <c:v>0.35730000000000001</c:v>
                </c:pt>
                <c:pt idx="26">
                  <c:v>0.32749282829008969</c:v>
                </c:pt>
                <c:pt idx="27">
                  <c:v>0.30124032311619603</c:v>
                </c:pt>
                <c:pt idx="28">
                  <c:v>0.27700556840957719</c:v>
                </c:pt>
                <c:pt idx="29">
                  <c:v>0.25467954157828859</c:v>
                </c:pt>
                <c:pt idx="30">
                  <c:v>0.23414655206576382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FD-485D-972B-17E40096D1D1}"/>
            </c:ext>
          </c:extLst>
        </c:ser>
        <c:ser>
          <c:idx val="7"/>
          <c:order val="7"/>
          <c:tx>
            <c:strRef>
              <c:f>xlvi!$Q$3</c:f>
              <c:strCache>
                <c:ptCount val="1"/>
                <c:pt idx="0">
                  <c:v>θ = 35°</c:v>
                </c:pt>
              </c:strCache>
            </c:strRef>
          </c:tx>
          <c:spPr>
            <a:ln w="158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xlvi!$P$6:$P$56</c:f>
              <c:numCache>
                <c:formatCode>0.000</c:formatCode>
                <c:ptCount val="51"/>
                <c:pt idx="22">
                  <c:v>3.5</c:v>
                </c:pt>
                <c:pt idx="23">
                  <c:v>3.3</c:v>
                </c:pt>
                <c:pt idx="24">
                  <c:v>3.18</c:v>
                </c:pt>
                <c:pt idx="25">
                  <c:v>3.1379999999999999</c:v>
                </c:pt>
                <c:pt idx="26">
                  <c:v>3.15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</c:numCache>
            </c:numRef>
          </c:xVal>
          <c:yVal>
            <c:numRef>
              <c:f>xlvi!$Q$6:$Q$56</c:f>
              <c:numCache>
                <c:formatCode>0.0000</c:formatCode>
                <c:ptCount val="51"/>
                <c:pt idx="22">
                  <c:v>0.34599999999999997</c:v>
                </c:pt>
                <c:pt idx="23">
                  <c:v>0.372</c:v>
                </c:pt>
                <c:pt idx="24">
                  <c:v>0.3805</c:v>
                </c:pt>
                <c:pt idx="25">
                  <c:v>0.373</c:v>
                </c:pt>
                <c:pt idx="26">
                  <c:v>0.35699999999999998</c:v>
                </c:pt>
                <c:pt idx="27">
                  <c:v>0.33200000000000002</c:v>
                </c:pt>
                <c:pt idx="28">
                  <c:v>0.29799999999999999</c:v>
                </c:pt>
                <c:pt idx="29">
                  <c:v>0.27</c:v>
                </c:pt>
                <c:pt idx="30">
                  <c:v>0.24627140920000326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2FD-485D-972B-17E40096D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764384"/>
        <c:axId val="1903764864"/>
      </c:scatterChart>
      <c:valAx>
        <c:axId val="1903764384"/>
        <c:scaling>
          <c:orientation val="minMax"/>
          <c:max val="3.5"/>
          <c:min val="1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CMU Serif" panose="02000603000000000000" pitchFamily="2" charset="0"/>
                    <a:ea typeface="CMU Serif" panose="02000603000000000000" pitchFamily="2" charset="0"/>
                    <a:cs typeface="CMU Serif" panose="02000603000000000000" pitchFamily="2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Diagramm xlvi                                                        Ma</a:t>
                </a:r>
                <a:r>
                  <a:rPr lang="de-DE" baseline="-25000">
                    <a:solidFill>
                      <a:sysClr val="windowText" lastClr="000000"/>
                    </a:solidFill>
                  </a:rPr>
                  <a:t>1</a:t>
                </a:r>
                <a:r>
                  <a:rPr lang="de-DE" i="1">
                    <a:solidFill>
                      <a:sysClr val="windowText" lastClr="000000"/>
                    </a:solidFill>
                  </a:rPr>
                  <a:t> 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[</a:t>
                </a:r>
                <a:r>
                  <a:rPr lang="de-DE" sz="500" i="0">
                    <a:solidFill>
                      <a:sysClr val="windowText" lastClr="000000"/>
                    </a:solidFill>
                  </a:rPr>
                  <a:t>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-</a:t>
                </a:r>
                <a:r>
                  <a:rPr lang="de-DE" sz="500" i="0">
                    <a:solidFill>
                      <a:sysClr val="windowText" lastClr="000000"/>
                    </a:solidFill>
                  </a:rPr>
                  <a:t>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2.1526300317190154E-2"/>
              <c:y val="0.967472135218919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defRPr>
              </a:pPr>
              <a:endParaRPr lang="de-DE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864"/>
        <c:crosses val="autoZero"/>
        <c:crossBetween val="midCat"/>
        <c:majorUnit val="0.2"/>
        <c:minorUnit val="5.000000000000001E-2"/>
      </c:valAx>
      <c:valAx>
        <c:axId val="1903764864"/>
        <c:scaling>
          <c:orientation val="minMax"/>
          <c:max val="1"/>
          <c:min val="0.2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384"/>
        <c:crosses val="autoZero"/>
        <c:crossBetween val="midCat"/>
        <c:majorUnit val="2.0000000000000004E-2"/>
        <c:min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rnd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>
          <a:latin typeface="CMU Serif" panose="02000603000000000000" pitchFamily="2" charset="0"/>
          <a:ea typeface="CMU Serif" panose="02000603000000000000" pitchFamily="2" charset="0"/>
          <a:cs typeface="CMU Serif" panose="02000603000000000000" pitchFamily="2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809469266555394E-2"/>
          <c:y val="1.4263741923879563E-2"/>
          <c:w val="0.881440611002694"/>
          <c:h val="0.92613323210196863"/>
        </c:manualLayout>
      </c:layout>
      <c:scatterChart>
        <c:scatterStyle val="smoothMarker"/>
        <c:varyColors val="0"/>
        <c:ser>
          <c:idx val="0"/>
          <c:order val="0"/>
          <c:tx>
            <c:v>θ = 0°, oben</c:v>
          </c:tx>
          <c:spPr>
            <a:ln w="158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xlvii!$B$5:$B$30</c:f>
              <c:numCache>
                <c:formatCode>0.000</c:formatCode>
                <c:ptCount val="26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2.1</c:v>
                </c:pt>
                <c:pt idx="12">
                  <c:v>2.2000000000000002</c:v>
                </c:pt>
                <c:pt idx="13">
                  <c:v>2.2999999999999998</c:v>
                </c:pt>
                <c:pt idx="14">
                  <c:v>2.4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</c:numCache>
            </c:numRef>
          </c:xVal>
          <c:yVal>
            <c:numRef>
              <c:f>xlvii!$B$5:$B$30</c:f>
              <c:numCache>
                <c:formatCode>0.000</c:formatCode>
                <c:ptCount val="26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2.1</c:v>
                </c:pt>
                <c:pt idx="12">
                  <c:v>2.2000000000000002</c:v>
                </c:pt>
                <c:pt idx="13">
                  <c:v>2.2999999999999998</c:v>
                </c:pt>
                <c:pt idx="14">
                  <c:v>2.4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B71-4DBA-B5B2-FECB29A98B64}"/>
            </c:ext>
          </c:extLst>
        </c:ser>
        <c:ser>
          <c:idx val="1"/>
          <c:order val="1"/>
          <c:tx>
            <c:v>θ = 0°, unten</c:v>
          </c:tx>
          <c:spPr>
            <a:ln w="158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xlvii!$C$5:$C$30</c:f>
              <c:numCache>
                <c:formatCode>0.000</c:formatCode>
                <c:ptCount val="26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1.8</c:v>
                </c:pt>
                <c:pt idx="8">
                  <c:v>2</c:v>
                </c:pt>
                <c:pt idx="9">
                  <c:v>2.2000000000000002</c:v>
                </c:pt>
                <c:pt idx="10">
                  <c:v>2.4</c:v>
                </c:pt>
                <c:pt idx="11">
                  <c:v>2.63</c:v>
                </c:pt>
              </c:numCache>
            </c:numRef>
          </c:xVal>
          <c:yVal>
            <c:numRef>
              <c:f>xlvii!$D$5:$D$30</c:f>
              <c:numCache>
                <c:formatCode>0.000</c:formatCode>
                <c:ptCount val="26"/>
                <c:pt idx="0">
                  <c:v>1</c:v>
                </c:pt>
                <c:pt idx="1">
                  <c:v>0.91</c:v>
                </c:pt>
                <c:pt idx="2">
                  <c:v>0.84199999999999997</c:v>
                </c:pt>
                <c:pt idx="3">
                  <c:v>0.78600000000000003</c:v>
                </c:pt>
                <c:pt idx="4">
                  <c:v>0.74</c:v>
                </c:pt>
                <c:pt idx="5">
                  <c:v>0.70199999999999996</c:v>
                </c:pt>
                <c:pt idx="6">
                  <c:v>0.66800000000000004</c:v>
                </c:pt>
                <c:pt idx="7">
                  <c:v>0.61599999999999999</c:v>
                </c:pt>
                <c:pt idx="8">
                  <c:v>0.57799999999999996</c:v>
                </c:pt>
                <c:pt idx="9">
                  <c:v>0.54800000000000004</c:v>
                </c:pt>
                <c:pt idx="10">
                  <c:v>0.52500000000000002</c:v>
                </c:pt>
                <c:pt idx="11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B71-4DBA-B5B2-FECB29A98B64}"/>
            </c:ext>
          </c:extLst>
        </c:ser>
        <c:ser>
          <c:idx val="2"/>
          <c:order val="2"/>
          <c:tx>
            <c:strRef>
              <c:f>xlvii!$E$3</c:f>
              <c:strCache>
                <c:ptCount val="1"/>
                <c:pt idx="0">
                  <c:v>θ = 5°</c:v>
                </c:pt>
              </c:strCache>
            </c:strRef>
          </c:tx>
          <c:spPr>
            <a:ln w="158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xlvii!$E$5:$E$30</c:f>
              <c:numCache>
                <c:formatCode>0.000</c:formatCode>
                <c:ptCount val="26"/>
                <c:pt idx="0">
                  <c:v>3.5</c:v>
                </c:pt>
                <c:pt idx="1">
                  <c:v>3</c:v>
                </c:pt>
                <c:pt idx="2">
                  <c:v>2.5</c:v>
                </c:pt>
                <c:pt idx="3">
                  <c:v>2</c:v>
                </c:pt>
                <c:pt idx="4">
                  <c:v>1.5</c:v>
                </c:pt>
                <c:pt idx="5">
                  <c:v>1.4</c:v>
                </c:pt>
                <c:pt idx="6">
                  <c:v>1.3</c:v>
                </c:pt>
                <c:pt idx="7">
                  <c:v>1.24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2</c:v>
                </c:pt>
                <c:pt idx="14">
                  <c:v>2.5</c:v>
                </c:pt>
                <c:pt idx="15">
                  <c:v>2.67</c:v>
                </c:pt>
              </c:numCache>
            </c:numRef>
          </c:xVal>
          <c:yVal>
            <c:numRef>
              <c:f>xlvii!$F$5:$F$30</c:f>
              <c:numCache>
                <c:formatCode>0.000</c:formatCode>
                <c:ptCount val="26"/>
                <c:pt idx="0">
                  <c:v>3.2</c:v>
                </c:pt>
                <c:pt idx="1">
                  <c:v>2.75</c:v>
                </c:pt>
                <c:pt idx="2">
                  <c:v>2.2999999999999998</c:v>
                </c:pt>
                <c:pt idx="3">
                  <c:v>1.825</c:v>
                </c:pt>
                <c:pt idx="4">
                  <c:v>1.327</c:v>
                </c:pt>
                <c:pt idx="5">
                  <c:v>1.22</c:v>
                </c:pt>
                <c:pt idx="6">
                  <c:v>1.0900000000000001</c:v>
                </c:pt>
                <c:pt idx="7">
                  <c:v>0.95</c:v>
                </c:pt>
                <c:pt idx="8">
                  <c:v>0.83299999999999996</c:v>
                </c:pt>
                <c:pt idx="9">
                  <c:v>0.76500000000000001</c:v>
                </c:pt>
                <c:pt idx="10">
                  <c:v>0.72</c:v>
                </c:pt>
                <c:pt idx="11">
                  <c:v>0.68300000000000005</c:v>
                </c:pt>
                <c:pt idx="12">
                  <c:v>0.65200000000000002</c:v>
                </c:pt>
                <c:pt idx="13">
                  <c:v>0.58499999999999996</c:v>
                </c:pt>
                <c:pt idx="14">
                  <c:v>0.52</c:v>
                </c:pt>
                <c:pt idx="15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DF-4FBC-B281-9D2F0431BB15}"/>
            </c:ext>
          </c:extLst>
        </c:ser>
        <c:ser>
          <c:idx val="3"/>
          <c:order val="3"/>
          <c:tx>
            <c:strRef>
              <c:f>xlvii!$G$3</c:f>
              <c:strCache>
                <c:ptCount val="1"/>
                <c:pt idx="0">
                  <c:v>θ = 10°</c:v>
                </c:pt>
              </c:strCache>
            </c:strRef>
          </c:tx>
          <c:spPr>
            <a:ln w="158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xlvii!$G$5:$G$30</c:f>
              <c:numCache>
                <c:formatCode>0.000</c:formatCode>
                <c:ptCount val="26"/>
                <c:pt idx="0">
                  <c:v>3.5</c:v>
                </c:pt>
                <c:pt idx="1">
                  <c:v>3</c:v>
                </c:pt>
                <c:pt idx="2">
                  <c:v>2.5</c:v>
                </c:pt>
                <c:pt idx="3">
                  <c:v>2</c:v>
                </c:pt>
                <c:pt idx="4">
                  <c:v>1.7</c:v>
                </c:pt>
                <c:pt idx="5">
                  <c:v>1.6</c:v>
                </c:pt>
                <c:pt idx="6">
                  <c:v>1.5</c:v>
                </c:pt>
                <c:pt idx="7">
                  <c:v>1.42</c:v>
                </c:pt>
                <c:pt idx="8">
                  <c:v>1.5</c:v>
                </c:pt>
                <c:pt idx="9">
                  <c:v>1.6</c:v>
                </c:pt>
                <c:pt idx="10">
                  <c:v>1.7</c:v>
                </c:pt>
                <c:pt idx="11">
                  <c:v>2</c:v>
                </c:pt>
                <c:pt idx="12">
                  <c:v>2.5</c:v>
                </c:pt>
                <c:pt idx="13">
                  <c:v>2.8250000000000002</c:v>
                </c:pt>
              </c:numCache>
            </c:numRef>
          </c:xVal>
          <c:yVal>
            <c:numRef>
              <c:f>xlvii!$H$5:$H$30</c:f>
              <c:numCache>
                <c:formatCode>0.000</c:formatCode>
                <c:ptCount val="26"/>
                <c:pt idx="0">
                  <c:v>2.9049999999999998</c:v>
                </c:pt>
                <c:pt idx="1">
                  <c:v>2.5099999999999998</c:v>
                </c:pt>
                <c:pt idx="2">
                  <c:v>2.0880000000000001</c:v>
                </c:pt>
                <c:pt idx="3">
                  <c:v>1.6439999999999999</c:v>
                </c:pt>
                <c:pt idx="4">
                  <c:v>1.35</c:v>
                </c:pt>
                <c:pt idx="5">
                  <c:v>1.24</c:v>
                </c:pt>
                <c:pt idx="6">
                  <c:v>1.1180000000000001</c:v>
                </c:pt>
                <c:pt idx="7">
                  <c:v>0.92400000000000004</c:v>
                </c:pt>
                <c:pt idx="8">
                  <c:v>0.78500000000000003</c:v>
                </c:pt>
                <c:pt idx="9">
                  <c:v>0.72399999999999998</c:v>
                </c:pt>
                <c:pt idx="10">
                  <c:v>0.68600000000000005</c:v>
                </c:pt>
                <c:pt idx="11">
                  <c:v>0.60399999999999998</c:v>
                </c:pt>
                <c:pt idx="12">
                  <c:v>0.53500000000000003</c:v>
                </c:pt>
                <c:pt idx="13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F3-4101-B09D-E28FEAB8143E}"/>
            </c:ext>
          </c:extLst>
        </c:ser>
        <c:ser>
          <c:idx val="4"/>
          <c:order val="4"/>
          <c:tx>
            <c:strRef>
              <c:f>xlvii!$I$3</c:f>
              <c:strCache>
                <c:ptCount val="1"/>
                <c:pt idx="0">
                  <c:v>θ = 15°</c:v>
                </c:pt>
              </c:strCache>
            </c:strRef>
          </c:tx>
          <c:spPr>
            <a:ln w="158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xlvii!$I$5:$I$30</c:f>
              <c:numCache>
                <c:formatCode>0.000</c:formatCode>
                <c:ptCount val="26"/>
                <c:pt idx="0">
                  <c:v>3.5</c:v>
                </c:pt>
                <c:pt idx="1">
                  <c:v>3</c:v>
                </c:pt>
                <c:pt idx="2">
                  <c:v>2.5</c:v>
                </c:pt>
                <c:pt idx="3">
                  <c:v>2</c:v>
                </c:pt>
                <c:pt idx="4">
                  <c:v>1.9</c:v>
                </c:pt>
                <c:pt idx="5">
                  <c:v>1.8</c:v>
                </c:pt>
                <c:pt idx="6">
                  <c:v>1.7</c:v>
                </c:pt>
                <c:pt idx="7">
                  <c:v>1.6120000000000001</c:v>
                </c:pt>
                <c:pt idx="8">
                  <c:v>1.7</c:v>
                </c:pt>
                <c:pt idx="9">
                  <c:v>1.8</c:v>
                </c:pt>
                <c:pt idx="10">
                  <c:v>2</c:v>
                </c:pt>
                <c:pt idx="11">
                  <c:v>2.6</c:v>
                </c:pt>
                <c:pt idx="12">
                  <c:v>3.1120000000000001</c:v>
                </c:pt>
              </c:numCache>
            </c:numRef>
          </c:xVal>
          <c:yVal>
            <c:numRef>
              <c:f>xlvii!$J$5:$J$30</c:f>
              <c:numCache>
                <c:formatCode>0.000</c:formatCode>
                <c:ptCount val="26"/>
                <c:pt idx="0">
                  <c:v>2.61</c:v>
                </c:pt>
                <c:pt idx="1">
                  <c:v>2.2599999999999998</c:v>
                </c:pt>
                <c:pt idx="2">
                  <c:v>1.875</c:v>
                </c:pt>
                <c:pt idx="3">
                  <c:v>1.45</c:v>
                </c:pt>
                <c:pt idx="4">
                  <c:v>1.35</c:v>
                </c:pt>
                <c:pt idx="5">
                  <c:v>1.2490000000000001</c:v>
                </c:pt>
                <c:pt idx="6">
                  <c:v>1.123</c:v>
                </c:pt>
                <c:pt idx="7">
                  <c:v>0.92500000000000004</c:v>
                </c:pt>
                <c:pt idx="8">
                  <c:v>0.77</c:v>
                </c:pt>
                <c:pt idx="9">
                  <c:v>0.71199999999999997</c:v>
                </c:pt>
                <c:pt idx="10">
                  <c:v>0.64400000000000002</c:v>
                </c:pt>
                <c:pt idx="11">
                  <c:v>0.54800000000000004</c:v>
                </c:pt>
                <c:pt idx="12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F3-4101-B09D-E28FEAB8143E}"/>
            </c:ext>
          </c:extLst>
        </c:ser>
        <c:ser>
          <c:idx val="5"/>
          <c:order val="5"/>
          <c:tx>
            <c:strRef>
              <c:f>xlvii!$K$3</c:f>
              <c:strCache>
                <c:ptCount val="1"/>
                <c:pt idx="0">
                  <c:v>θ = 20°</c:v>
                </c:pt>
              </c:strCache>
            </c:strRef>
          </c:tx>
          <c:spPr>
            <a:ln w="158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xlvii!$K$5:$K$30</c:f>
              <c:numCache>
                <c:formatCode>0.000</c:formatCode>
                <c:ptCount val="26"/>
                <c:pt idx="0">
                  <c:v>3.5</c:v>
                </c:pt>
                <c:pt idx="1">
                  <c:v>3</c:v>
                </c:pt>
                <c:pt idx="2">
                  <c:v>2.5</c:v>
                </c:pt>
                <c:pt idx="3">
                  <c:v>2.2000000000000002</c:v>
                </c:pt>
                <c:pt idx="4">
                  <c:v>2</c:v>
                </c:pt>
                <c:pt idx="5">
                  <c:v>1.9</c:v>
                </c:pt>
                <c:pt idx="6">
                  <c:v>1.84</c:v>
                </c:pt>
                <c:pt idx="7">
                  <c:v>1.9</c:v>
                </c:pt>
                <c:pt idx="8">
                  <c:v>2</c:v>
                </c:pt>
                <c:pt idx="9">
                  <c:v>2.2000000000000002</c:v>
                </c:pt>
                <c:pt idx="10">
                  <c:v>2.5</c:v>
                </c:pt>
                <c:pt idx="11">
                  <c:v>3</c:v>
                </c:pt>
                <c:pt idx="12">
                  <c:v>3.5</c:v>
                </c:pt>
              </c:numCache>
            </c:numRef>
          </c:xVal>
          <c:yVal>
            <c:numRef>
              <c:f>xlvii!$L$5:$L$30</c:f>
              <c:numCache>
                <c:formatCode>0.000</c:formatCode>
                <c:ptCount val="26"/>
                <c:pt idx="0">
                  <c:v>2.2999999999999998</c:v>
                </c:pt>
                <c:pt idx="1">
                  <c:v>1.9930000000000001</c:v>
                </c:pt>
                <c:pt idx="2">
                  <c:v>1.6479999999999999</c:v>
                </c:pt>
                <c:pt idx="3">
                  <c:v>1.4059999999999999</c:v>
                </c:pt>
                <c:pt idx="4">
                  <c:v>1.21</c:v>
                </c:pt>
                <c:pt idx="5">
                  <c:v>1.083</c:v>
                </c:pt>
                <c:pt idx="6">
                  <c:v>0.91400000000000003</c:v>
                </c:pt>
                <c:pt idx="7">
                  <c:v>0.78800000000000003</c:v>
                </c:pt>
                <c:pt idx="8">
                  <c:v>0.73</c:v>
                </c:pt>
                <c:pt idx="9">
                  <c:v>0.65600000000000003</c:v>
                </c:pt>
                <c:pt idx="10">
                  <c:v>0.59599999999999997</c:v>
                </c:pt>
                <c:pt idx="11">
                  <c:v>0.54200000000000004</c:v>
                </c:pt>
                <c:pt idx="12">
                  <c:v>0.51200000000000001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F3-4101-B09D-E28FEAB8143E}"/>
            </c:ext>
          </c:extLst>
        </c:ser>
        <c:ser>
          <c:idx val="6"/>
          <c:order val="6"/>
          <c:tx>
            <c:strRef>
              <c:f>xlvii!$M$3</c:f>
              <c:strCache>
                <c:ptCount val="1"/>
                <c:pt idx="0">
                  <c:v>θ = 25°</c:v>
                </c:pt>
              </c:strCache>
            </c:strRef>
          </c:tx>
          <c:spPr>
            <a:ln w="158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xlvii!$M$5:$M$30</c:f>
              <c:numCache>
                <c:formatCode>0.000</c:formatCode>
                <c:ptCount val="26"/>
                <c:pt idx="0">
                  <c:v>3.5</c:v>
                </c:pt>
                <c:pt idx="1">
                  <c:v>3.2</c:v>
                </c:pt>
                <c:pt idx="2">
                  <c:v>2.9</c:v>
                </c:pt>
                <c:pt idx="3">
                  <c:v>2.6</c:v>
                </c:pt>
                <c:pt idx="4">
                  <c:v>2.4</c:v>
                </c:pt>
                <c:pt idx="5">
                  <c:v>2.2000000000000002</c:v>
                </c:pt>
                <c:pt idx="6">
                  <c:v>2.125</c:v>
                </c:pt>
                <c:pt idx="7">
                  <c:v>2.2000000000000002</c:v>
                </c:pt>
                <c:pt idx="8">
                  <c:v>2.4</c:v>
                </c:pt>
                <c:pt idx="9">
                  <c:v>2.6</c:v>
                </c:pt>
                <c:pt idx="10">
                  <c:v>2.9</c:v>
                </c:pt>
                <c:pt idx="11">
                  <c:v>3.2</c:v>
                </c:pt>
                <c:pt idx="12">
                  <c:v>3.5</c:v>
                </c:pt>
              </c:numCache>
            </c:numRef>
          </c:xVal>
          <c:yVal>
            <c:numRef>
              <c:f>xlvii!$N$5:$N$30</c:f>
              <c:numCache>
                <c:formatCode>0.000</c:formatCode>
                <c:ptCount val="26"/>
                <c:pt idx="0">
                  <c:v>1.9830000000000001</c:v>
                </c:pt>
                <c:pt idx="1">
                  <c:v>1.83</c:v>
                </c:pt>
                <c:pt idx="2">
                  <c:v>1.66</c:v>
                </c:pt>
                <c:pt idx="3">
                  <c:v>1.4650000000000001</c:v>
                </c:pt>
                <c:pt idx="4">
                  <c:v>1.31</c:v>
                </c:pt>
                <c:pt idx="5">
                  <c:v>1.1120000000000001</c:v>
                </c:pt>
                <c:pt idx="6">
                  <c:v>0.93</c:v>
                </c:pt>
                <c:pt idx="7">
                  <c:v>0.79600000000000004</c:v>
                </c:pt>
                <c:pt idx="8">
                  <c:v>0.69799999999999995</c:v>
                </c:pt>
                <c:pt idx="9">
                  <c:v>0.65</c:v>
                </c:pt>
                <c:pt idx="10">
                  <c:v>0.60499999999999998</c:v>
                </c:pt>
                <c:pt idx="11">
                  <c:v>0.56999999999999995</c:v>
                </c:pt>
                <c:pt idx="12">
                  <c:v>0.54900000000000004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3F3-4101-B09D-E28FEAB8143E}"/>
            </c:ext>
          </c:extLst>
        </c:ser>
        <c:ser>
          <c:idx val="7"/>
          <c:order val="7"/>
          <c:tx>
            <c:strRef>
              <c:f>xlvii!$O$3</c:f>
              <c:strCache>
                <c:ptCount val="1"/>
                <c:pt idx="0">
                  <c:v>θ = 30°</c:v>
                </c:pt>
              </c:strCache>
            </c:strRef>
          </c:tx>
          <c:spPr>
            <a:ln w="158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xlvii!$O$5:$O$30</c:f>
              <c:numCache>
                <c:formatCode>0.000</c:formatCode>
                <c:ptCount val="26"/>
                <c:pt idx="0">
                  <c:v>3.5</c:v>
                </c:pt>
                <c:pt idx="1">
                  <c:v>3.2</c:v>
                </c:pt>
                <c:pt idx="2">
                  <c:v>2.9</c:v>
                </c:pt>
                <c:pt idx="3">
                  <c:v>2.7</c:v>
                </c:pt>
                <c:pt idx="4">
                  <c:v>2.6</c:v>
                </c:pt>
                <c:pt idx="5">
                  <c:v>2.52</c:v>
                </c:pt>
                <c:pt idx="6">
                  <c:v>2.6</c:v>
                </c:pt>
                <c:pt idx="7">
                  <c:v>2.7</c:v>
                </c:pt>
                <c:pt idx="8">
                  <c:v>2.9</c:v>
                </c:pt>
                <c:pt idx="9">
                  <c:v>3.2</c:v>
                </c:pt>
                <c:pt idx="10">
                  <c:v>3.5</c:v>
                </c:pt>
              </c:numCache>
            </c:numRef>
          </c:xVal>
          <c:yVal>
            <c:numRef>
              <c:f>xlvii!$P$5:$P$30</c:f>
              <c:numCache>
                <c:formatCode>0.000</c:formatCode>
                <c:ptCount val="26"/>
                <c:pt idx="0">
                  <c:v>1.657</c:v>
                </c:pt>
                <c:pt idx="1">
                  <c:v>1.516</c:v>
                </c:pt>
                <c:pt idx="2">
                  <c:v>1.3460000000000001</c:v>
                </c:pt>
                <c:pt idx="3">
                  <c:v>1.21</c:v>
                </c:pt>
                <c:pt idx="4">
                  <c:v>1.1180000000000001</c:v>
                </c:pt>
                <c:pt idx="5">
                  <c:v>0.94499999999999995</c:v>
                </c:pt>
                <c:pt idx="6">
                  <c:v>0.81200000000000006</c:v>
                </c:pt>
                <c:pt idx="7">
                  <c:v>0.75800000000000001</c:v>
                </c:pt>
                <c:pt idx="8">
                  <c:v>0.69599999999999995</c:v>
                </c:pt>
                <c:pt idx="9">
                  <c:v>0.64500000000000002</c:v>
                </c:pt>
                <c:pt idx="10">
                  <c:v>0.61199999999999999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3F3-4101-B09D-E28FEAB8143E}"/>
            </c:ext>
          </c:extLst>
        </c:ser>
        <c:ser>
          <c:idx val="8"/>
          <c:order val="8"/>
          <c:tx>
            <c:strRef>
              <c:f>xlvii!$Q$3</c:f>
              <c:strCache>
                <c:ptCount val="1"/>
                <c:pt idx="0">
                  <c:v>θ = 35°</c:v>
                </c:pt>
              </c:strCache>
            </c:strRef>
          </c:tx>
          <c:spPr>
            <a:ln w="158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xlvii!$Q$5:$Q$30</c:f>
              <c:numCache>
                <c:formatCode>0.000</c:formatCode>
                <c:ptCount val="26"/>
                <c:pt idx="0">
                  <c:v>3.5</c:v>
                </c:pt>
                <c:pt idx="1">
                  <c:v>3.3</c:v>
                </c:pt>
                <c:pt idx="2">
                  <c:v>3.2</c:v>
                </c:pt>
                <c:pt idx="3">
                  <c:v>3.1440000000000001</c:v>
                </c:pt>
                <c:pt idx="4">
                  <c:v>3.2</c:v>
                </c:pt>
                <c:pt idx="5">
                  <c:v>3.3</c:v>
                </c:pt>
                <c:pt idx="6">
                  <c:v>3.5</c:v>
                </c:pt>
              </c:numCache>
            </c:numRef>
          </c:xVal>
          <c:yVal>
            <c:numRef>
              <c:f>xlvii!$R$5:$R$30</c:f>
              <c:numCache>
                <c:formatCode>0.000</c:formatCode>
                <c:ptCount val="26"/>
                <c:pt idx="0">
                  <c:v>1.268</c:v>
                </c:pt>
                <c:pt idx="1">
                  <c:v>1.1559999999999999</c:v>
                </c:pt>
                <c:pt idx="2">
                  <c:v>1.073</c:v>
                </c:pt>
                <c:pt idx="3">
                  <c:v>0.95699999999999996</c:v>
                </c:pt>
                <c:pt idx="4">
                  <c:v>0.86199999999999999</c:v>
                </c:pt>
                <c:pt idx="5">
                  <c:v>0.81200000000000006</c:v>
                </c:pt>
                <c:pt idx="6">
                  <c:v>0.753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3F3-4101-B09D-E28FEAB81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764384"/>
        <c:axId val="1903764864"/>
      </c:scatterChart>
      <c:valAx>
        <c:axId val="1903764384"/>
        <c:scaling>
          <c:orientation val="minMax"/>
          <c:max val="3.5"/>
          <c:min val="1"/>
        </c:scaling>
        <c:delete val="0"/>
        <c:axPos val="b"/>
        <c:majorGridlines>
          <c:spPr>
            <a:ln w="9525" cap="rnd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CMU Serif" panose="02000603000000000000" pitchFamily="2" charset="0"/>
                    <a:ea typeface="CMU Serif" panose="02000603000000000000" pitchFamily="2" charset="0"/>
                    <a:cs typeface="CMU Serif" panose="02000603000000000000" pitchFamily="2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Diagramm xlvii                                                   Ma</a:t>
                </a:r>
                <a:r>
                  <a:rPr lang="de-DE" baseline="-25000">
                    <a:solidFill>
                      <a:sysClr val="windowText" lastClr="000000"/>
                    </a:solidFill>
                  </a:rPr>
                  <a:t>1</a:t>
                </a:r>
                <a:r>
                  <a:rPr lang="de-DE" i="1">
                    <a:solidFill>
                      <a:sysClr val="windowText" lastClr="000000"/>
                    </a:solidFill>
                  </a:rPr>
                  <a:t> 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[</a:t>
                </a:r>
                <a:r>
                  <a:rPr lang="de-DE" sz="500" i="0">
                    <a:solidFill>
                      <a:sysClr val="windowText" lastClr="000000"/>
                    </a:solidFill>
                  </a:rPr>
                  <a:t>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-</a:t>
                </a:r>
                <a:r>
                  <a:rPr lang="de-DE" sz="500" i="0">
                    <a:solidFill>
                      <a:sysClr val="windowText" lastClr="000000"/>
                    </a:solidFill>
                  </a:rPr>
                  <a:t>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2.1526300317190154E-2"/>
              <c:y val="0.967472135218919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defRPr>
              </a:pPr>
              <a:endParaRPr lang="de-DE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864"/>
        <c:crosses val="autoZero"/>
        <c:crossBetween val="midCat"/>
        <c:majorUnit val="0.2"/>
        <c:minorUnit val="5.000000000000001E-2"/>
      </c:valAx>
      <c:valAx>
        <c:axId val="1903764864"/>
        <c:scaling>
          <c:orientation val="minMax"/>
          <c:max val="3.5"/>
          <c:min val="0.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CMU Serif" panose="02000603000000000000" pitchFamily="2" charset="0"/>
                    <a:ea typeface="CMU Serif" panose="02000603000000000000" pitchFamily="2" charset="0"/>
                    <a:cs typeface="CMU Serif" panose="02000603000000000000" pitchFamily="2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Ma</a:t>
                </a:r>
                <a:r>
                  <a:rPr lang="en-US" baseline="-25000">
                    <a:solidFill>
                      <a:sysClr val="windowText" lastClr="000000"/>
                    </a:solidFill>
                  </a:rPr>
                  <a:t>2</a:t>
                </a:r>
                <a:r>
                  <a:rPr lang="en-US">
                    <a:solidFill>
                      <a:sysClr val="windowText" lastClr="000000"/>
                    </a:solidFill>
                  </a:rPr>
                  <a:t>  [</a:t>
                </a:r>
                <a:r>
                  <a:rPr lang="en-US" sz="50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>
                    <a:solidFill>
                      <a:sysClr val="windowText" lastClr="000000"/>
                    </a:solidFill>
                  </a:rPr>
                  <a:t>-</a:t>
                </a:r>
                <a:r>
                  <a:rPr lang="en-US" sz="50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>
                    <a:solidFill>
                      <a:sysClr val="windowText" lastClr="000000"/>
                    </a:solidFill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1.2688085227411192E-2"/>
              <c:y val="0.47254197805668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defRPr>
              </a:pPr>
              <a:endParaRPr lang="de-DE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384"/>
        <c:crosses val="autoZero"/>
        <c:crossBetween val="midCat"/>
        <c:majorUnit val="0.1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rnd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>
          <a:latin typeface="CMU Serif" panose="02000603000000000000" pitchFamily="2" charset="0"/>
          <a:ea typeface="CMU Serif" panose="02000603000000000000" pitchFamily="2" charset="0"/>
          <a:cs typeface="CMU Serif" panose="02000603000000000000" pitchFamily="2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0128308054334"/>
          <c:y val="1.5567784280284805E-2"/>
          <c:w val="0.8440925854021607"/>
          <c:h val="0.9261332321019686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xlviii!$B$3</c:f>
              <c:strCache>
                <c:ptCount val="1"/>
                <c:pt idx="0">
                  <c:v>θ = 0°</c:v>
                </c:pt>
              </c:strCache>
            </c:strRef>
          </c:tx>
          <c:spPr>
            <a:ln w="158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xlviii!$B$5:$B$22</c:f>
              <c:numCache>
                <c:formatCode>General</c:formatCode>
                <c:ptCount val="18"/>
                <c:pt idx="0">
                  <c:v>1</c:v>
                </c:pt>
                <c:pt idx="1">
                  <c:v>1.2</c:v>
                </c:pt>
                <c:pt idx="2">
                  <c:v>1.4</c:v>
                </c:pt>
                <c:pt idx="3">
                  <c:v>1.6</c:v>
                </c:pt>
                <c:pt idx="4">
                  <c:v>1.8</c:v>
                </c:pt>
                <c:pt idx="5">
                  <c:v>2</c:v>
                </c:pt>
                <c:pt idx="6">
                  <c:v>2.2000000000000002</c:v>
                </c:pt>
                <c:pt idx="7">
                  <c:v>2.4</c:v>
                </c:pt>
                <c:pt idx="8">
                  <c:v>2.6</c:v>
                </c:pt>
                <c:pt idx="9">
                  <c:v>2.8</c:v>
                </c:pt>
                <c:pt idx="10">
                  <c:v>3</c:v>
                </c:pt>
              </c:numCache>
            </c:numRef>
          </c:xVal>
          <c:yVal>
            <c:numRef>
              <c:f>xlviii!$C$5:$C$22</c:f>
              <c:numCache>
                <c:formatCode>0.0000</c:formatCode>
                <c:ptCount val="18"/>
                <c:pt idx="0">
                  <c:v>0</c:v>
                </c:pt>
                <c:pt idx="1">
                  <c:v>0.1799345981374415</c:v>
                </c:pt>
                <c:pt idx="2">
                  <c:v>0.32633586092875139</c:v>
                </c:pt>
                <c:pt idx="3">
                  <c:v>0.45024910831936116</c:v>
                </c:pt>
                <c:pt idx="4">
                  <c:v>0.55790802748270563</c:v>
                </c:pt>
                <c:pt idx="5">
                  <c:v>0.65321251377534373</c:v>
                </c:pt>
                <c:pt idx="6">
                  <c:v>0.73878055848436919</c:v>
                </c:pt>
                <c:pt idx="7">
                  <c:v>0.8164622587764544</c:v>
                </c:pt>
                <c:pt idx="8">
                  <c:v>0.88761730033573627</c:v>
                </c:pt>
                <c:pt idx="9">
                  <c:v>0.95327633666730427</c:v>
                </c:pt>
                <c:pt idx="10">
                  <c:v>1.0142404391146103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D0C-4F6F-9FD1-101FF23B5E11}"/>
            </c:ext>
          </c:extLst>
        </c:ser>
        <c:ser>
          <c:idx val="1"/>
          <c:order val="1"/>
          <c:tx>
            <c:strRef>
              <c:f>xlviii!$D$3</c:f>
              <c:strCache>
                <c:ptCount val="1"/>
                <c:pt idx="0">
                  <c:v>θ = 5°</c:v>
                </c:pt>
              </c:strCache>
            </c:strRef>
          </c:tx>
          <c:spPr>
            <a:ln w="158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9748-4B4A-850A-76B407606863}"/>
              </c:ext>
            </c:extLst>
          </c:dPt>
          <c:xVal>
            <c:numRef>
              <c:f>xlviii!$D$5:$D$22</c:f>
              <c:numCache>
                <c:formatCode>General</c:formatCode>
                <c:ptCount val="18"/>
                <c:pt idx="0">
                  <c:v>3.5</c:v>
                </c:pt>
                <c:pt idx="1">
                  <c:v>3</c:v>
                </c:pt>
                <c:pt idx="2">
                  <c:v>2.5</c:v>
                </c:pt>
                <c:pt idx="3">
                  <c:v>2</c:v>
                </c:pt>
                <c:pt idx="4">
                  <c:v>1.5</c:v>
                </c:pt>
                <c:pt idx="5">
                  <c:v>1.3</c:v>
                </c:pt>
                <c:pt idx="6">
                  <c:v>1.24</c:v>
                </c:pt>
                <c:pt idx="7">
                  <c:v>1.3</c:v>
                </c:pt>
                <c:pt idx="8">
                  <c:v>1.6040000000000001</c:v>
                </c:pt>
                <c:pt idx="9">
                  <c:v>1.804</c:v>
                </c:pt>
                <c:pt idx="10">
                  <c:v>2.004</c:v>
                </c:pt>
                <c:pt idx="11">
                  <c:v>2.2040000000000002</c:v>
                </c:pt>
                <c:pt idx="12">
                  <c:v>2.4039999999999999</c:v>
                </c:pt>
                <c:pt idx="13">
                  <c:v>2.6040000000000001</c:v>
                </c:pt>
                <c:pt idx="14">
                  <c:v>2.8039999999999998</c:v>
                </c:pt>
                <c:pt idx="15">
                  <c:v>3.004</c:v>
                </c:pt>
              </c:numCache>
            </c:numRef>
          </c:xVal>
          <c:yVal>
            <c:numRef>
              <c:f>xlviii!$E$5:$E$22</c:f>
              <c:numCache>
                <c:formatCode>0.0000</c:formatCode>
                <c:ptCount val="18"/>
                <c:pt idx="0">
                  <c:v>0.186</c:v>
                </c:pt>
                <c:pt idx="1">
                  <c:v>0.16200000000000001</c:v>
                </c:pt>
                <c:pt idx="2">
                  <c:v>0.1394</c:v>
                </c:pt>
                <c:pt idx="3">
                  <c:v>0.1186</c:v>
                </c:pt>
                <c:pt idx="4">
                  <c:v>0.106</c:v>
                </c:pt>
                <c:pt idx="5">
                  <c:v>0.1162</c:v>
                </c:pt>
                <c:pt idx="6">
                  <c:v>0.155</c:v>
                </c:pt>
                <c:pt idx="7">
                  <c:v>0.24</c:v>
                </c:pt>
                <c:pt idx="8">
                  <c:v>0.45024910831936116</c:v>
                </c:pt>
                <c:pt idx="9">
                  <c:v>0.55790802748270563</c:v>
                </c:pt>
                <c:pt idx="10">
                  <c:v>0.65321251377534373</c:v>
                </c:pt>
                <c:pt idx="11">
                  <c:v>0.73878055848436919</c:v>
                </c:pt>
                <c:pt idx="12">
                  <c:v>0.8164622587764544</c:v>
                </c:pt>
                <c:pt idx="13">
                  <c:v>0.88761730033573627</c:v>
                </c:pt>
                <c:pt idx="14">
                  <c:v>0.95327633666730427</c:v>
                </c:pt>
                <c:pt idx="15">
                  <c:v>1.0142404391146103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48-4B4A-850A-76B407606863}"/>
            </c:ext>
          </c:extLst>
        </c:ser>
        <c:ser>
          <c:idx val="2"/>
          <c:order val="2"/>
          <c:tx>
            <c:strRef>
              <c:f>xlviii!$F$3</c:f>
              <c:strCache>
                <c:ptCount val="1"/>
                <c:pt idx="0">
                  <c:v>θ = 10°</c:v>
                </c:pt>
              </c:strCache>
            </c:strRef>
          </c:tx>
          <c:spPr>
            <a:ln w="158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xlviii!$F$5:$F$22</c:f>
              <c:numCache>
                <c:formatCode>General</c:formatCode>
                <c:ptCount val="18"/>
                <c:pt idx="1">
                  <c:v>3.5</c:v>
                </c:pt>
                <c:pt idx="2">
                  <c:v>3</c:v>
                </c:pt>
                <c:pt idx="3">
                  <c:v>2.5</c:v>
                </c:pt>
                <c:pt idx="4">
                  <c:v>2</c:v>
                </c:pt>
                <c:pt idx="5">
                  <c:v>1.8</c:v>
                </c:pt>
                <c:pt idx="6">
                  <c:v>1.6</c:v>
                </c:pt>
                <c:pt idx="7">
                  <c:v>1.5</c:v>
                </c:pt>
                <c:pt idx="8">
                  <c:v>1.423</c:v>
                </c:pt>
                <c:pt idx="9">
                  <c:v>1.6</c:v>
                </c:pt>
                <c:pt idx="10">
                  <c:v>1.8</c:v>
                </c:pt>
                <c:pt idx="11">
                  <c:v>2.0070000000000001</c:v>
                </c:pt>
                <c:pt idx="12">
                  <c:v>2.2069999999999999</c:v>
                </c:pt>
                <c:pt idx="13">
                  <c:v>2.407</c:v>
                </c:pt>
                <c:pt idx="14">
                  <c:v>2.6070000000000002</c:v>
                </c:pt>
                <c:pt idx="15">
                  <c:v>2.8069999999999999</c:v>
                </c:pt>
                <c:pt idx="16">
                  <c:v>3.0070000000000001</c:v>
                </c:pt>
              </c:numCache>
            </c:numRef>
          </c:xVal>
          <c:yVal>
            <c:numRef>
              <c:f>xlviii!$G$5:$G$22</c:f>
              <c:numCache>
                <c:formatCode>0.0000</c:formatCode>
                <c:ptCount val="18"/>
                <c:pt idx="1">
                  <c:v>0.35549999999999998</c:v>
                </c:pt>
                <c:pt idx="2">
                  <c:v>0.31340000000000001</c:v>
                </c:pt>
                <c:pt idx="3">
                  <c:v>0.27060000000000001</c:v>
                </c:pt>
                <c:pt idx="4">
                  <c:v>0.23300000000000001</c:v>
                </c:pt>
                <c:pt idx="5">
                  <c:v>0.221</c:v>
                </c:pt>
                <c:pt idx="6">
                  <c:v>0.21640000000000001</c:v>
                </c:pt>
                <c:pt idx="7">
                  <c:v>0.222</c:v>
                </c:pt>
                <c:pt idx="8">
                  <c:v>0.26500000000000001</c:v>
                </c:pt>
                <c:pt idx="9">
                  <c:v>0.434</c:v>
                </c:pt>
                <c:pt idx="10">
                  <c:v>0.55000000000000004</c:v>
                </c:pt>
                <c:pt idx="11">
                  <c:v>0.65321251377534373</c:v>
                </c:pt>
                <c:pt idx="12">
                  <c:v>0.73878055848436919</c:v>
                </c:pt>
                <c:pt idx="13">
                  <c:v>0.8164622587764544</c:v>
                </c:pt>
                <c:pt idx="14">
                  <c:v>0.88761730033573627</c:v>
                </c:pt>
                <c:pt idx="15">
                  <c:v>0.95327633666730427</c:v>
                </c:pt>
                <c:pt idx="16">
                  <c:v>1.0142404391146103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748-4B4A-850A-76B407606863}"/>
            </c:ext>
          </c:extLst>
        </c:ser>
        <c:ser>
          <c:idx val="3"/>
          <c:order val="3"/>
          <c:tx>
            <c:strRef>
              <c:f>xlviii!$H$3</c:f>
              <c:strCache>
                <c:ptCount val="1"/>
                <c:pt idx="0">
                  <c:v>θ = 15°</c:v>
                </c:pt>
              </c:strCache>
            </c:strRef>
          </c:tx>
          <c:spPr>
            <a:ln w="158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xlviii!$H$5:$H$22</c:f>
              <c:numCache>
                <c:formatCode>General</c:formatCode>
                <c:ptCount val="18"/>
                <c:pt idx="2">
                  <c:v>3.5</c:v>
                </c:pt>
                <c:pt idx="3">
                  <c:v>3</c:v>
                </c:pt>
                <c:pt idx="4">
                  <c:v>2.5</c:v>
                </c:pt>
                <c:pt idx="5">
                  <c:v>2</c:v>
                </c:pt>
                <c:pt idx="6">
                  <c:v>1.8</c:v>
                </c:pt>
                <c:pt idx="7">
                  <c:v>1.7</c:v>
                </c:pt>
                <c:pt idx="8">
                  <c:v>1.6140000000000001</c:v>
                </c:pt>
                <c:pt idx="9">
                  <c:v>1.7</c:v>
                </c:pt>
                <c:pt idx="10">
                  <c:v>1.8</c:v>
                </c:pt>
                <c:pt idx="11">
                  <c:v>2</c:v>
                </c:pt>
                <c:pt idx="12">
                  <c:v>2.2000000000000002</c:v>
                </c:pt>
                <c:pt idx="13">
                  <c:v>2.4159999999999999</c:v>
                </c:pt>
                <c:pt idx="14">
                  <c:v>2.6160000000000001</c:v>
                </c:pt>
                <c:pt idx="15">
                  <c:v>2.8159999999999998</c:v>
                </c:pt>
                <c:pt idx="16">
                  <c:v>3.016</c:v>
                </c:pt>
              </c:numCache>
            </c:numRef>
          </c:xVal>
          <c:yVal>
            <c:numRef>
              <c:f>xlviii!$I$5:$I$22</c:f>
              <c:numCache>
                <c:formatCode>0.0000</c:formatCode>
                <c:ptCount val="18"/>
                <c:pt idx="2">
                  <c:v>0.51</c:v>
                </c:pt>
                <c:pt idx="3">
                  <c:v>0.45</c:v>
                </c:pt>
                <c:pt idx="4">
                  <c:v>0.39200000000000002</c:v>
                </c:pt>
                <c:pt idx="5">
                  <c:v>0.34200000000000003</c:v>
                </c:pt>
                <c:pt idx="6">
                  <c:v>0.33100000000000002</c:v>
                </c:pt>
                <c:pt idx="7">
                  <c:v>0.33260000000000001</c:v>
                </c:pt>
                <c:pt idx="8">
                  <c:v>0.375</c:v>
                </c:pt>
                <c:pt idx="9">
                  <c:v>0.47</c:v>
                </c:pt>
                <c:pt idx="10">
                  <c:v>0.53500000000000003</c:v>
                </c:pt>
                <c:pt idx="11">
                  <c:v>0.64</c:v>
                </c:pt>
                <c:pt idx="12">
                  <c:v>0.73099999999999998</c:v>
                </c:pt>
                <c:pt idx="13">
                  <c:v>0.8164622587764544</c:v>
                </c:pt>
                <c:pt idx="14">
                  <c:v>0.88761730033573627</c:v>
                </c:pt>
                <c:pt idx="15">
                  <c:v>0.95327633666730427</c:v>
                </c:pt>
                <c:pt idx="16">
                  <c:v>1.0142404391146103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748-4B4A-850A-76B407606863}"/>
            </c:ext>
          </c:extLst>
        </c:ser>
        <c:ser>
          <c:idx val="4"/>
          <c:order val="4"/>
          <c:tx>
            <c:strRef>
              <c:f>xlviii!$J$3</c:f>
              <c:strCache>
                <c:ptCount val="1"/>
                <c:pt idx="0">
                  <c:v>θ = 20°</c:v>
                </c:pt>
              </c:strCache>
            </c:strRef>
          </c:tx>
          <c:spPr>
            <a:ln w="158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xlviii!$J$5:$J$22</c:f>
              <c:numCache>
                <c:formatCode>General</c:formatCode>
                <c:ptCount val="18"/>
                <c:pt idx="3">
                  <c:v>3.5</c:v>
                </c:pt>
                <c:pt idx="4">
                  <c:v>3</c:v>
                </c:pt>
                <c:pt idx="5">
                  <c:v>2.5</c:v>
                </c:pt>
                <c:pt idx="6">
                  <c:v>2.25</c:v>
                </c:pt>
                <c:pt idx="7">
                  <c:v>2</c:v>
                </c:pt>
                <c:pt idx="8">
                  <c:v>1.9</c:v>
                </c:pt>
                <c:pt idx="9">
                  <c:v>1.837</c:v>
                </c:pt>
                <c:pt idx="10">
                  <c:v>1.9</c:v>
                </c:pt>
                <c:pt idx="11">
                  <c:v>2</c:v>
                </c:pt>
                <c:pt idx="12">
                  <c:v>2.25</c:v>
                </c:pt>
                <c:pt idx="13">
                  <c:v>2.4</c:v>
                </c:pt>
                <c:pt idx="14">
                  <c:v>2.63</c:v>
                </c:pt>
                <c:pt idx="15">
                  <c:v>2.83</c:v>
                </c:pt>
                <c:pt idx="16">
                  <c:v>3.03</c:v>
                </c:pt>
              </c:numCache>
            </c:numRef>
          </c:xVal>
          <c:yVal>
            <c:numRef>
              <c:f>xlviii!$K$5:$K$22</c:f>
              <c:numCache>
                <c:formatCode>0.0000</c:formatCode>
                <c:ptCount val="18"/>
                <c:pt idx="3">
                  <c:v>0.64800000000000002</c:v>
                </c:pt>
                <c:pt idx="4">
                  <c:v>0.57699999999999996</c:v>
                </c:pt>
                <c:pt idx="5">
                  <c:v>0.50600000000000001</c:v>
                </c:pt>
                <c:pt idx="6">
                  <c:v>0.47499999999999998</c:v>
                </c:pt>
                <c:pt idx="7">
                  <c:v>0.45400000000000001</c:v>
                </c:pt>
                <c:pt idx="8">
                  <c:v>0.45600000000000002</c:v>
                </c:pt>
                <c:pt idx="9">
                  <c:v>0.48799999999999999</c:v>
                </c:pt>
                <c:pt idx="10">
                  <c:v>0.55700000000000005</c:v>
                </c:pt>
                <c:pt idx="11">
                  <c:v>0.62</c:v>
                </c:pt>
                <c:pt idx="12">
                  <c:v>0.74</c:v>
                </c:pt>
                <c:pt idx="13">
                  <c:v>0.80400000000000005</c:v>
                </c:pt>
                <c:pt idx="14">
                  <c:v>0.88761730033573627</c:v>
                </c:pt>
                <c:pt idx="15">
                  <c:v>0.95327633666730427</c:v>
                </c:pt>
                <c:pt idx="16">
                  <c:v>1.0142404391146103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748-4B4A-850A-76B407606863}"/>
            </c:ext>
          </c:extLst>
        </c:ser>
        <c:ser>
          <c:idx val="5"/>
          <c:order val="5"/>
          <c:tx>
            <c:strRef>
              <c:f>xlviii!$L$3</c:f>
              <c:strCache>
                <c:ptCount val="1"/>
                <c:pt idx="0">
                  <c:v>θ = 25°</c:v>
                </c:pt>
              </c:strCache>
            </c:strRef>
          </c:tx>
          <c:spPr>
            <a:ln w="158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xlviii!$L$5:$L$22</c:f>
              <c:numCache>
                <c:formatCode>General</c:formatCode>
                <c:ptCount val="18"/>
                <c:pt idx="7">
                  <c:v>3.5</c:v>
                </c:pt>
                <c:pt idx="8">
                  <c:v>3</c:v>
                </c:pt>
                <c:pt idx="9">
                  <c:v>2.7</c:v>
                </c:pt>
                <c:pt idx="10">
                  <c:v>2.35</c:v>
                </c:pt>
                <c:pt idx="11">
                  <c:v>2.15</c:v>
                </c:pt>
                <c:pt idx="12">
                  <c:v>2.1219999999999999</c:v>
                </c:pt>
                <c:pt idx="13">
                  <c:v>2.2000000000000002</c:v>
                </c:pt>
                <c:pt idx="14">
                  <c:v>2.4</c:v>
                </c:pt>
                <c:pt idx="15">
                  <c:v>2.6</c:v>
                </c:pt>
                <c:pt idx="16">
                  <c:v>3</c:v>
                </c:pt>
              </c:numCache>
            </c:numRef>
          </c:xVal>
          <c:yVal>
            <c:numRef>
              <c:f>xlviii!$M$5:$M$22</c:f>
              <c:numCache>
                <c:formatCode>0.0000</c:formatCode>
                <c:ptCount val="18"/>
                <c:pt idx="7">
                  <c:v>0.77200000000000002</c:v>
                </c:pt>
                <c:pt idx="8">
                  <c:v>0.69299999999999995</c:v>
                </c:pt>
                <c:pt idx="9">
                  <c:v>0.64800000000000002</c:v>
                </c:pt>
                <c:pt idx="10">
                  <c:v>0.6</c:v>
                </c:pt>
                <c:pt idx="11">
                  <c:v>0.59499999999999997</c:v>
                </c:pt>
                <c:pt idx="12">
                  <c:v>0.62</c:v>
                </c:pt>
                <c:pt idx="13">
                  <c:v>0.68799999999999994</c:v>
                </c:pt>
                <c:pt idx="14">
                  <c:v>0.78700000000000003</c:v>
                </c:pt>
                <c:pt idx="15">
                  <c:v>0.86599999999999999</c:v>
                </c:pt>
                <c:pt idx="1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748-4B4A-850A-76B407606863}"/>
            </c:ext>
          </c:extLst>
        </c:ser>
        <c:ser>
          <c:idx val="6"/>
          <c:order val="6"/>
          <c:tx>
            <c:strRef>
              <c:f>xlviii!$N$3</c:f>
              <c:strCache>
                <c:ptCount val="1"/>
                <c:pt idx="0">
                  <c:v>θ = 30°</c:v>
                </c:pt>
              </c:strCache>
            </c:strRef>
          </c:tx>
          <c:spPr>
            <a:ln w="158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xlviii!$N$5:$N$21</c:f>
              <c:numCache>
                <c:formatCode>General</c:formatCode>
                <c:ptCount val="17"/>
                <c:pt idx="9">
                  <c:v>3.5</c:v>
                </c:pt>
                <c:pt idx="10">
                  <c:v>3</c:v>
                </c:pt>
                <c:pt idx="11">
                  <c:v>2.8</c:v>
                </c:pt>
                <c:pt idx="12">
                  <c:v>2.6</c:v>
                </c:pt>
                <c:pt idx="13">
                  <c:v>2.5179999999999998</c:v>
                </c:pt>
                <c:pt idx="14">
                  <c:v>2.6</c:v>
                </c:pt>
                <c:pt idx="15">
                  <c:v>2.75</c:v>
                </c:pt>
                <c:pt idx="16">
                  <c:v>3.05</c:v>
                </c:pt>
              </c:numCache>
            </c:numRef>
          </c:xVal>
          <c:yVal>
            <c:numRef>
              <c:f>xlviii!$O$5:$O$21</c:f>
              <c:numCache>
                <c:formatCode>0.0000</c:formatCode>
                <c:ptCount val="17"/>
                <c:pt idx="9">
                  <c:v>0.88500000000000001</c:v>
                </c:pt>
                <c:pt idx="10">
                  <c:v>0.80300000000000005</c:v>
                </c:pt>
                <c:pt idx="11">
                  <c:v>0.77400000000000002</c:v>
                </c:pt>
                <c:pt idx="12">
                  <c:v>0.753</c:v>
                </c:pt>
                <c:pt idx="13">
                  <c:v>0.77200000000000002</c:v>
                </c:pt>
                <c:pt idx="14">
                  <c:v>0.83550000000000002</c:v>
                </c:pt>
                <c:pt idx="15">
                  <c:v>0.89800000000000002</c:v>
                </c:pt>
                <c:pt idx="1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748-4B4A-850A-76B407606863}"/>
            </c:ext>
          </c:extLst>
        </c:ser>
        <c:ser>
          <c:idx val="7"/>
          <c:order val="7"/>
          <c:tx>
            <c:strRef>
              <c:f>xlviii!$P$3</c:f>
              <c:strCache>
                <c:ptCount val="1"/>
                <c:pt idx="0">
                  <c:v>θ = 35°</c:v>
                </c:pt>
              </c:strCache>
            </c:strRef>
          </c:tx>
          <c:spPr>
            <a:ln w="158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xlviii!$P$5:$P$21</c:f>
              <c:numCache>
                <c:formatCode>General</c:formatCode>
                <c:ptCount val="17"/>
                <c:pt idx="12">
                  <c:v>3.5</c:v>
                </c:pt>
                <c:pt idx="13">
                  <c:v>3.35</c:v>
                </c:pt>
                <c:pt idx="14">
                  <c:v>3.19</c:v>
                </c:pt>
                <c:pt idx="15">
                  <c:v>3.14</c:v>
                </c:pt>
                <c:pt idx="16">
                  <c:v>3.18</c:v>
                </c:pt>
              </c:numCache>
            </c:numRef>
          </c:xVal>
          <c:yVal>
            <c:numRef>
              <c:f>xlviii!$Q$5:$Q$21</c:f>
              <c:numCache>
                <c:formatCode>0.0000</c:formatCode>
                <c:ptCount val="17"/>
                <c:pt idx="12">
                  <c:v>0.998</c:v>
                </c:pt>
                <c:pt idx="13">
                  <c:v>0.97599999999999998</c:v>
                </c:pt>
                <c:pt idx="14">
                  <c:v>0.96150000000000002</c:v>
                </c:pt>
                <c:pt idx="15">
                  <c:v>0.97</c:v>
                </c:pt>
                <c:pt idx="1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748-4B4A-850A-76B407606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764384"/>
        <c:axId val="1903764864"/>
      </c:scatterChart>
      <c:valAx>
        <c:axId val="1903764384"/>
        <c:scaling>
          <c:orientation val="minMax"/>
          <c:max val="3.5"/>
          <c:min val="1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rnd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CMU Serif" panose="02000603000000000000" pitchFamily="2" charset="0"/>
                    <a:ea typeface="CMU Serif" panose="02000603000000000000" pitchFamily="2" charset="0"/>
                    <a:cs typeface="CMU Serif" panose="02000603000000000000" pitchFamily="2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Diagramm xlviii                                                 Ma</a:t>
                </a:r>
                <a:r>
                  <a:rPr lang="de-DE" baseline="-25000">
                    <a:solidFill>
                      <a:sysClr val="windowText" lastClr="000000"/>
                    </a:solidFill>
                  </a:rPr>
                  <a:t>1</a:t>
                </a:r>
                <a:r>
                  <a:rPr lang="de-DE" i="1">
                    <a:solidFill>
                      <a:sysClr val="windowText" lastClr="000000"/>
                    </a:solidFill>
                  </a:rPr>
                  <a:t> 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[</a:t>
                </a:r>
                <a:r>
                  <a:rPr lang="de-DE" sz="500" i="0">
                    <a:solidFill>
                      <a:sysClr val="windowText" lastClr="000000"/>
                    </a:solidFill>
                  </a:rPr>
                  <a:t>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-</a:t>
                </a:r>
                <a:r>
                  <a:rPr lang="de-DE" sz="500" i="0">
                    <a:solidFill>
                      <a:sysClr val="windowText" lastClr="000000"/>
                    </a:solidFill>
                  </a:rPr>
                  <a:t>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2.1526300317190154E-2"/>
              <c:y val="0.967472135218919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defRPr>
              </a:pPr>
              <a:endParaRPr lang="de-DE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864"/>
        <c:crosses val="autoZero"/>
        <c:crossBetween val="midCat"/>
        <c:majorUnit val="0.2"/>
        <c:minorUnit val="5.000000000000001E-2"/>
      </c:valAx>
      <c:valAx>
        <c:axId val="1903764864"/>
        <c:scaling>
          <c:orientation val="minMax"/>
          <c:max val="1"/>
          <c:min val="0"/>
        </c:scaling>
        <c:delete val="0"/>
        <c:axPos val="l"/>
        <c:majorGridlines>
          <c:spPr>
            <a:ln w="9525" cap="rnd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384"/>
        <c:crosses val="autoZero"/>
        <c:crossBetween val="midCat"/>
        <c:majorUnit val="2.0000000000000004E-2"/>
        <c:min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rnd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latin typeface="CMU Serif" panose="02000603000000000000" pitchFamily="2" charset="0"/>
          <a:ea typeface="CMU Serif" panose="02000603000000000000" pitchFamily="2" charset="0"/>
          <a:cs typeface="CMU Serif" panose="02000603000000000000" pitchFamily="2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1051</xdr:colOff>
      <xdr:row>1</xdr:row>
      <xdr:rowOff>0</xdr:rowOff>
    </xdr:from>
    <xdr:to>
      <xdr:col>14</xdr:col>
      <xdr:colOff>259080</xdr:colOff>
      <xdr:row>34</xdr:row>
      <xdr:rowOff>1172</xdr:rowOff>
    </xdr:to>
    <xdr:grpSp>
      <xdr:nvGrpSpPr>
        <xdr:cNvPr id="5" name="Gruppieren 4">
          <a:extLst>
            <a:ext uri="{FF2B5EF4-FFF2-40B4-BE49-F238E27FC236}">
              <a16:creationId xmlns:a16="http://schemas.microsoft.com/office/drawing/2014/main" id="{1A104FA3-8F42-B7C9-6170-7C09F8D1F99A}"/>
            </a:ext>
          </a:extLst>
        </xdr:cNvPr>
        <xdr:cNvGrpSpPr/>
      </xdr:nvGrpSpPr>
      <xdr:grpSpPr>
        <a:xfrm>
          <a:off x="6415103" y="198783"/>
          <a:ext cx="5028812" cy="6560998"/>
          <a:chOff x="6388788" y="200297"/>
          <a:chExt cx="5012909" cy="6610978"/>
        </a:xfrm>
      </xdr:grpSpPr>
      <xdr:graphicFrame macro="">
        <xdr:nvGraphicFramePr>
          <xdr:cNvPr id="3" name="Diagramm 2">
            <a:extLst>
              <a:ext uri="{FF2B5EF4-FFF2-40B4-BE49-F238E27FC236}">
                <a16:creationId xmlns:a16="http://schemas.microsoft.com/office/drawing/2014/main" id="{07DA353E-1DEA-FC77-8627-90B32EF56575}"/>
              </a:ext>
            </a:extLst>
          </xdr:cNvPr>
          <xdr:cNvGraphicFramePr/>
        </xdr:nvGraphicFramePr>
        <xdr:xfrm>
          <a:off x="6388788" y="200297"/>
          <a:ext cx="5012909" cy="66109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25" name="Gruppieren 24">
            <a:extLst>
              <a:ext uri="{FF2B5EF4-FFF2-40B4-BE49-F238E27FC236}">
                <a16:creationId xmlns:a16="http://schemas.microsoft.com/office/drawing/2014/main" id="{EF988B9B-3B7D-026A-AFD0-C0E1EF7B3404}"/>
              </a:ext>
            </a:extLst>
          </xdr:cNvPr>
          <xdr:cNvGrpSpPr/>
        </xdr:nvGrpSpPr>
        <xdr:grpSpPr>
          <a:xfrm>
            <a:off x="7787228" y="366536"/>
            <a:ext cx="1275085" cy="1443285"/>
            <a:chOff x="7540486" y="613998"/>
            <a:chExt cx="1211734" cy="1431234"/>
          </a:xfrm>
        </xdr:grpSpPr>
        <xdr:sp macro="" textlink="">
          <xdr:nvSpPr>
            <xdr:cNvPr id="24" name="Rechteck: abgerundete Ecken 23">
              <a:extLst>
                <a:ext uri="{FF2B5EF4-FFF2-40B4-BE49-F238E27FC236}">
                  <a16:creationId xmlns:a16="http://schemas.microsoft.com/office/drawing/2014/main" id="{CEDF0709-846A-B86C-9190-A5B640B102D1}"/>
                </a:ext>
              </a:extLst>
            </xdr:cNvPr>
            <xdr:cNvSpPr/>
          </xdr:nvSpPr>
          <xdr:spPr>
            <a:xfrm>
              <a:off x="7540486" y="1119809"/>
              <a:ext cx="705907" cy="24473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sp macro="" textlink="">
          <xdr:nvSpPr>
            <xdr:cNvPr id="23" name="Textfeld 22">
              <a:extLst>
                <a:ext uri="{FF2B5EF4-FFF2-40B4-BE49-F238E27FC236}">
                  <a16:creationId xmlns:a16="http://schemas.microsoft.com/office/drawing/2014/main" id="{F4CD9056-BBAD-CAE3-811F-4DC263787A05}"/>
                </a:ext>
              </a:extLst>
            </xdr:cNvPr>
            <xdr:cNvSpPr txBox="1"/>
          </xdr:nvSpPr>
          <xdr:spPr>
            <a:xfrm>
              <a:off x="7546272" y="613998"/>
              <a:ext cx="1205948" cy="143123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de-DE" sz="1400" i="1">
                  <a:latin typeface="Latin Modern Math" panose="02000503000000000000" pitchFamily="50" charset="0"/>
                  <a:ea typeface="Latin Modern Math" panose="02000503000000000000" pitchFamily="50" charset="0"/>
                  <a:cs typeface="CMU Serif" panose="02000603000000000000" pitchFamily="2" charset="0"/>
                </a:rPr>
                <a:t>κ</a:t>
              </a:r>
              <a:r>
                <a:rPr lang="de-DE" sz="140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 = 1,4</a:t>
              </a:r>
            </a:p>
          </xdr:txBody>
        </xdr:sp>
      </xdr:grpSp>
      <xdr:sp macro="" textlink="">
        <xdr:nvSpPr>
          <xdr:cNvPr id="47" name="Rechteck: abgerundete Ecken 46">
            <a:extLst>
              <a:ext uri="{FF2B5EF4-FFF2-40B4-BE49-F238E27FC236}">
                <a16:creationId xmlns:a16="http://schemas.microsoft.com/office/drawing/2014/main" id="{0B0B5F85-2B9B-4D96-15EC-1D639ED260D0}"/>
              </a:ext>
            </a:extLst>
          </xdr:cNvPr>
          <xdr:cNvSpPr/>
        </xdr:nvSpPr>
        <xdr:spPr>
          <a:xfrm>
            <a:off x="9469540" y="5434403"/>
            <a:ext cx="352314" cy="431736"/>
          </a:xfrm>
          <a:prstGeom prst="roundRect">
            <a:avLst>
              <a:gd name="adj" fmla="val 29608"/>
            </a:avLst>
          </a:prstGeom>
          <a:solidFill>
            <a:sysClr val="window" lastClr="FFFFFF"/>
          </a:solidFill>
          <a:ln w="63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46" name="Gruppieren 45">
            <a:extLst>
              <a:ext uri="{FF2B5EF4-FFF2-40B4-BE49-F238E27FC236}">
                <a16:creationId xmlns:a16="http://schemas.microsoft.com/office/drawing/2014/main" id="{5591A179-C118-332C-8553-4167C85732CE}"/>
              </a:ext>
            </a:extLst>
          </xdr:cNvPr>
          <xdr:cNvGrpSpPr/>
        </xdr:nvGrpSpPr>
        <xdr:grpSpPr>
          <a:xfrm>
            <a:off x="9408926" y="5406941"/>
            <a:ext cx="475206" cy="432526"/>
            <a:chOff x="12266182" y="5522497"/>
            <a:chExt cx="453189" cy="421103"/>
          </a:xfrm>
        </xdr:grpSpPr>
        <xdr:sp macro="" textlink="">
          <xdr:nvSpPr>
            <xdr:cNvPr id="41" name="Textfeld 40">
              <a:extLst>
                <a:ext uri="{FF2B5EF4-FFF2-40B4-BE49-F238E27FC236}">
                  <a16:creationId xmlns:a16="http://schemas.microsoft.com/office/drawing/2014/main" id="{B91AAF09-3B5F-1BB0-C6E1-628D80A9C1E6}"/>
                </a:ext>
              </a:extLst>
            </xdr:cNvPr>
            <xdr:cNvSpPr txBox="1"/>
          </xdr:nvSpPr>
          <xdr:spPr>
            <a:xfrm>
              <a:off x="12266182" y="5731041"/>
              <a:ext cx="453189" cy="2125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400" i="1">
                  <a:solidFill>
                    <a:srgbClr val="8E4000"/>
                  </a:solidFill>
                  <a:latin typeface="Latin Modern Math" panose="02000503000000000000" pitchFamily="50" charset="0"/>
                  <a:ea typeface="Latin Modern Math" panose="02000503000000000000" pitchFamily="50" charset="0"/>
                  <a:cs typeface="CMU Serif" panose="02000603000000000000" pitchFamily="2" charset="0"/>
                </a:rPr>
                <a:t>ρ</a:t>
              </a:r>
              <a:r>
                <a:rPr lang="de-DE" sz="1400" baseline="-25000">
                  <a:solidFill>
                    <a:srgbClr val="8E4000"/>
                  </a:solidFill>
                  <a:latin typeface="Latin Modern Math" panose="02000503000000000000" pitchFamily="50" charset="0"/>
                  <a:ea typeface="Latin Modern Math" panose="02000503000000000000" pitchFamily="50" charset="0"/>
                  <a:cs typeface="CMU Serif" panose="02000603000000000000" pitchFamily="2" charset="0"/>
                </a:rPr>
                <a:t>0</a:t>
              </a:r>
            </a:p>
          </xdr:txBody>
        </xdr:sp>
        <xdr:cxnSp macro="">
          <xdr:nvCxnSpPr>
            <xdr:cNvPr id="42" name="Gerader Verbinder 41">
              <a:extLst>
                <a:ext uri="{FF2B5EF4-FFF2-40B4-BE49-F238E27FC236}">
                  <a16:creationId xmlns:a16="http://schemas.microsoft.com/office/drawing/2014/main" id="{7FEEB16D-D46D-DC25-1FD2-778A41545B39}"/>
                </a:ext>
              </a:extLst>
            </xdr:cNvPr>
            <xdr:cNvCxnSpPr/>
          </xdr:nvCxnSpPr>
          <xdr:spPr>
            <a:xfrm>
              <a:off x="12381626" y="5762287"/>
              <a:ext cx="215437" cy="0"/>
            </a:xfrm>
            <a:prstGeom prst="line">
              <a:avLst/>
            </a:prstGeom>
            <a:ln w="9525">
              <a:solidFill>
                <a:srgbClr val="8E4000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4" name="Textfeld 43">
              <a:extLst>
                <a:ext uri="{FF2B5EF4-FFF2-40B4-BE49-F238E27FC236}">
                  <a16:creationId xmlns:a16="http://schemas.microsoft.com/office/drawing/2014/main" id="{D92C47FA-D50D-4E3E-A773-BB04C3A5C033}"/>
                </a:ext>
              </a:extLst>
            </xdr:cNvPr>
            <xdr:cNvSpPr txBox="1"/>
          </xdr:nvSpPr>
          <xdr:spPr>
            <a:xfrm>
              <a:off x="12266182" y="5522497"/>
              <a:ext cx="453189" cy="2125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400" i="1">
                  <a:solidFill>
                    <a:srgbClr val="8E4000"/>
                  </a:solidFill>
                  <a:latin typeface="Latin Modern Math" panose="02000503000000000000" pitchFamily="50" charset="0"/>
                  <a:ea typeface="Latin Modern Math" panose="02000503000000000000" pitchFamily="50" charset="0"/>
                  <a:cs typeface="CMU Serif" panose="02000603000000000000" pitchFamily="2" charset="0"/>
                </a:rPr>
                <a:t>ρ</a:t>
              </a:r>
              <a:endParaRPr lang="de-DE" sz="1400" baseline="-25000">
                <a:solidFill>
                  <a:srgbClr val="8E4000"/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endParaRPr>
            </a:p>
          </xdr:txBody>
        </xdr:sp>
      </xdr:grpSp>
      <xdr:sp macro="" textlink="">
        <xdr:nvSpPr>
          <xdr:cNvPr id="48" name="Rechteck: abgerundete Ecken 47">
            <a:extLst>
              <a:ext uri="{FF2B5EF4-FFF2-40B4-BE49-F238E27FC236}">
                <a16:creationId xmlns:a16="http://schemas.microsoft.com/office/drawing/2014/main" id="{E74E2980-727D-4518-9A6D-7F910B4EC11C}"/>
              </a:ext>
            </a:extLst>
          </xdr:cNvPr>
          <xdr:cNvSpPr/>
        </xdr:nvSpPr>
        <xdr:spPr>
          <a:xfrm>
            <a:off x="9802299" y="4871299"/>
            <a:ext cx="344905" cy="508879"/>
          </a:xfrm>
          <a:prstGeom prst="roundRect">
            <a:avLst>
              <a:gd name="adj" fmla="val 23996"/>
            </a:avLst>
          </a:prstGeom>
          <a:solidFill>
            <a:sysClr val="window" lastClr="FFFFFF"/>
          </a:solidFill>
          <a:ln w="63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37" name="Gruppieren 36">
            <a:extLst>
              <a:ext uri="{FF2B5EF4-FFF2-40B4-BE49-F238E27FC236}">
                <a16:creationId xmlns:a16="http://schemas.microsoft.com/office/drawing/2014/main" id="{DC1EC004-30C4-4B6A-8085-FAC91434BFA6}"/>
              </a:ext>
            </a:extLst>
          </xdr:cNvPr>
          <xdr:cNvGrpSpPr/>
        </xdr:nvGrpSpPr>
        <xdr:grpSpPr>
          <a:xfrm>
            <a:off x="9771764" y="4843227"/>
            <a:ext cx="392351" cy="583997"/>
            <a:chOff x="9799635" y="1598631"/>
            <a:chExt cx="371060" cy="479171"/>
          </a:xfrm>
        </xdr:grpSpPr>
        <xdr:sp macro="" textlink="">
          <xdr:nvSpPr>
            <xdr:cNvPr id="38" name="Textfeld 37">
              <a:extLst>
                <a:ext uri="{FF2B5EF4-FFF2-40B4-BE49-F238E27FC236}">
                  <a16:creationId xmlns:a16="http://schemas.microsoft.com/office/drawing/2014/main" id="{F14C0FEB-4B4C-C5B5-924A-BB5EF2494F72}"/>
                </a:ext>
              </a:extLst>
            </xdr:cNvPr>
            <xdr:cNvSpPr txBox="1"/>
          </xdr:nvSpPr>
          <xdr:spPr>
            <a:xfrm>
              <a:off x="9799635" y="1598631"/>
              <a:ext cx="371060" cy="4791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400" i="1">
                  <a:solidFill>
                    <a:srgbClr val="FF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T</a:t>
              </a:r>
            </a:p>
            <a:p>
              <a:pPr algn="ctr"/>
              <a:r>
                <a:rPr lang="de-DE" sz="1400" i="1">
                  <a:solidFill>
                    <a:srgbClr val="FF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T</a:t>
              </a:r>
              <a:r>
                <a:rPr lang="de-DE" sz="1400" baseline="-25000">
                  <a:solidFill>
                    <a:srgbClr val="FF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0</a:t>
              </a:r>
            </a:p>
          </xdr:txBody>
        </xdr:sp>
        <xdr:cxnSp macro="">
          <xdr:nvCxnSpPr>
            <xdr:cNvPr id="39" name="Gerader Verbinder 38">
              <a:extLst>
                <a:ext uri="{FF2B5EF4-FFF2-40B4-BE49-F238E27FC236}">
                  <a16:creationId xmlns:a16="http://schemas.microsoft.com/office/drawing/2014/main" id="{3368FB70-52C9-0A9E-2E8F-4C813BDF2ED3}"/>
                </a:ext>
              </a:extLst>
            </xdr:cNvPr>
            <xdr:cNvCxnSpPr/>
          </xdr:nvCxnSpPr>
          <xdr:spPr>
            <a:xfrm>
              <a:off x="9885947" y="1832812"/>
              <a:ext cx="200526" cy="0"/>
            </a:xfrm>
            <a:prstGeom prst="line">
              <a:avLst/>
            </a:prstGeom>
            <a:ln w="9525">
              <a:solidFill>
                <a:srgbClr val="FF0000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9" name="Rechteck: abgerundete Ecken 48">
            <a:extLst>
              <a:ext uri="{FF2B5EF4-FFF2-40B4-BE49-F238E27FC236}">
                <a16:creationId xmlns:a16="http://schemas.microsoft.com/office/drawing/2014/main" id="{57422FC5-7212-471B-9591-36A1B0E1D8F4}"/>
              </a:ext>
            </a:extLst>
          </xdr:cNvPr>
          <xdr:cNvSpPr/>
        </xdr:nvSpPr>
        <xdr:spPr>
          <a:xfrm>
            <a:off x="10726271" y="3199896"/>
            <a:ext cx="326528" cy="418515"/>
          </a:xfrm>
          <a:prstGeom prst="roundRect">
            <a:avLst>
              <a:gd name="adj" fmla="val 29608"/>
            </a:avLst>
          </a:prstGeom>
          <a:solidFill>
            <a:sysClr val="window" lastClr="FFFFFF"/>
          </a:solidFill>
          <a:ln w="63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34" name="Gruppieren 33">
            <a:extLst>
              <a:ext uri="{FF2B5EF4-FFF2-40B4-BE49-F238E27FC236}">
                <a16:creationId xmlns:a16="http://schemas.microsoft.com/office/drawing/2014/main" id="{F7ECD6B4-A220-480B-986A-167F0C8084AB}"/>
              </a:ext>
            </a:extLst>
          </xdr:cNvPr>
          <xdr:cNvGrpSpPr/>
        </xdr:nvGrpSpPr>
        <xdr:grpSpPr>
          <a:xfrm>
            <a:off x="10683753" y="3025052"/>
            <a:ext cx="392351" cy="732695"/>
            <a:chOff x="9799635" y="1598631"/>
            <a:chExt cx="371060" cy="479171"/>
          </a:xfrm>
        </xdr:grpSpPr>
        <xdr:sp macro="" textlink="">
          <xdr:nvSpPr>
            <xdr:cNvPr id="35" name="Textfeld 34">
              <a:extLst>
                <a:ext uri="{FF2B5EF4-FFF2-40B4-BE49-F238E27FC236}">
                  <a16:creationId xmlns:a16="http://schemas.microsoft.com/office/drawing/2014/main" id="{E764A3C5-C3AE-3CC8-1165-1C8C6E80B847}"/>
                </a:ext>
              </a:extLst>
            </xdr:cNvPr>
            <xdr:cNvSpPr txBox="1"/>
          </xdr:nvSpPr>
          <xdr:spPr>
            <a:xfrm>
              <a:off x="9799635" y="1598631"/>
              <a:ext cx="371060" cy="4791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400" i="1">
                  <a:solidFill>
                    <a:srgbClr val="1D792A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v</a:t>
              </a:r>
            </a:p>
            <a:p>
              <a:pPr algn="ctr"/>
              <a:r>
                <a:rPr lang="de-DE" sz="1400" i="1">
                  <a:solidFill>
                    <a:srgbClr val="1D792A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c</a:t>
              </a:r>
              <a:r>
                <a:rPr lang="de-DE" sz="1400">
                  <a:solidFill>
                    <a:srgbClr val="1D792A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*</a:t>
              </a:r>
            </a:p>
          </xdr:txBody>
        </xdr:sp>
        <xdr:cxnSp macro="">
          <xdr:nvCxnSpPr>
            <xdr:cNvPr id="36" name="Gerader Verbinder 35">
              <a:extLst>
                <a:ext uri="{FF2B5EF4-FFF2-40B4-BE49-F238E27FC236}">
                  <a16:creationId xmlns:a16="http://schemas.microsoft.com/office/drawing/2014/main" id="{900271AE-CFE6-1A3B-393D-AC9C2AE76DAB}"/>
                </a:ext>
              </a:extLst>
            </xdr:cNvPr>
            <xdr:cNvCxnSpPr/>
          </xdr:nvCxnSpPr>
          <xdr:spPr>
            <a:xfrm>
              <a:off x="9885947" y="1832812"/>
              <a:ext cx="200526" cy="0"/>
            </a:xfrm>
            <a:prstGeom prst="line">
              <a:avLst/>
            </a:prstGeom>
            <a:ln w="9525">
              <a:solidFill>
                <a:srgbClr val="1D792A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50" name="Rechteck: abgerundete Ecken 49">
            <a:extLst>
              <a:ext uri="{FF2B5EF4-FFF2-40B4-BE49-F238E27FC236}">
                <a16:creationId xmlns:a16="http://schemas.microsoft.com/office/drawing/2014/main" id="{DD14E0CF-9B70-4E59-A9D5-8A333278E532}"/>
              </a:ext>
            </a:extLst>
          </xdr:cNvPr>
          <xdr:cNvSpPr/>
        </xdr:nvSpPr>
        <xdr:spPr>
          <a:xfrm>
            <a:off x="10040171" y="1589314"/>
            <a:ext cx="353508" cy="483647"/>
          </a:xfrm>
          <a:prstGeom prst="roundRect">
            <a:avLst>
              <a:gd name="adj" fmla="val 29608"/>
            </a:avLst>
          </a:prstGeom>
          <a:solidFill>
            <a:sysClr val="window" lastClr="FFFFFF"/>
          </a:solidFill>
          <a:ln w="63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33" name="Gruppieren 32">
            <a:extLst>
              <a:ext uri="{FF2B5EF4-FFF2-40B4-BE49-F238E27FC236}">
                <a16:creationId xmlns:a16="http://schemas.microsoft.com/office/drawing/2014/main" id="{20F2E72B-0DCA-F36C-7FF1-B74EFC1F1743}"/>
              </a:ext>
            </a:extLst>
          </xdr:cNvPr>
          <xdr:cNvGrpSpPr/>
        </xdr:nvGrpSpPr>
        <xdr:grpSpPr>
          <a:xfrm>
            <a:off x="9990970" y="1454331"/>
            <a:ext cx="459315" cy="779753"/>
            <a:chOff x="9799635" y="1598631"/>
            <a:chExt cx="371060" cy="479171"/>
          </a:xfrm>
        </xdr:grpSpPr>
        <xdr:sp macro="" textlink="">
          <xdr:nvSpPr>
            <xdr:cNvPr id="26" name="Textfeld 25">
              <a:extLst>
                <a:ext uri="{FF2B5EF4-FFF2-40B4-BE49-F238E27FC236}">
                  <a16:creationId xmlns:a16="http://schemas.microsoft.com/office/drawing/2014/main" id="{8ECD9B8C-FB92-B20B-A175-1F10E388743D}"/>
                </a:ext>
              </a:extLst>
            </xdr:cNvPr>
            <xdr:cNvSpPr txBox="1"/>
          </xdr:nvSpPr>
          <xdr:spPr>
            <a:xfrm>
              <a:off x="9799635" y="1598631"/>
              <a:ext cx="371060" cy="4791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400" i="1">
                  <a:solidFill>
                    <a:schemeClr val="accent2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A</a:t>
              </a:r>
            </a:p>
            <a:p>
              <a:pPr algn="ctr"/>
              <a:r>
                <a:rPr lang="de-DE" sz="1400" i="1">
                  <a:solidFill>
                    <a:schemeClr val="accent2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A</a:t>
              </a:r>
              <a:r>
                <a:rPr lang="de-DE" sz="1400">
                  <a:solidFill>
                    <a:schemeClr val="accent2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*</a:t>
              </a:r>
            </a:p>
          </xdr:txBody>
        </xdr:sp>
        <xdr:cxnSp macro="">
          <xdr:nvCxnSpPr>
            <xdr:cNvPr id="31" name="Gerader Verbinder 30">
              <a:extLst>
                <a:ext uri="{FF2B5EF4-FFF2-40B4-BE49-F238E27FC236}">
                  <a16:creationId xmlns:a16="http://schemas.microsoft.com/office/drawing/2014/main" id="{4C0E36C0-D4B4-8FF4-8346-8764097C0877}"/>
                </a:ext>
              </a:extLst>
            </xdr:cNvPr>
            <xdr:cNvCxnSpPr/>
          </xdr:nvCxnSpPr>
          <xdr:spPr>
            <a:xfrm>
              <a:off x="9885947" y="1832812"/>
              <a:ext cx="200526" cy="0"/>
            </a:xfrm>
            <a:prstGeom prst="line">
              <a:avLst/>
            </a:prstGeom>
            <a:ln w="9525">
              <a:solidFill>
                <a:schemeClr val="accent2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51" name="Rechteck: abgerundete Ecken 50">
            <a:extLst>
              <a:ext uri="{FF2B5EF4-FFF2-40B4-BE49-F238E27FC236}">
                <a16:creationId xmlns:a16="http://schemas.microsoft.com/office/drawing/2014/main" id="{62505B1A-CC73-4D8B-B449-B750E6E0A8E3}"/>
              </a:ext>
            </a:extLst>
          </xdr:cNvPr>
          <xdr:cNvSpPr/>
        </xdr:nvSpPr>
        <xdr:spPr>
          <a:xfrm>
            <a:off x="8602349" y="5790145"/>
            <a:ext cx="347724" cy="483235"/>
          </a:xfrm>
          <a:prstGeom prst="roundRect">
            <a:avLst>
              <a:gd name="adj" fmla="val 29608"/>
            </a:avLst>
          </a:prstGeom>
          <a:solidFill>
            <a:sysClr val="window" lastClr="FFFFFF"/>
          </a:solidFill>
          <a:ln w="63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52" name="Gruppieren 51">
            <a:extLst>
              <a:ext uri="{FF2B5EF4-FFF2-40B4-BE49-F238E27FC236}">
                <a16:creationId xmlns:a16="http://schemas.microsoft.com/office/drawing/2014/main" id="{1CEB6158-ACA6-440A-BAA3-C67D7DD99F15}"/>
              </a:ext>
            </a:extLst>
          </xdr:cNvPr>
          <xdr:cNvGrpSpPr/>
        </xdr:nvGrpSpPr>
        <xdr:grpSpPr>
          <a:xfrm>
            <a:off x="8585357" y="5665657"/>
            <a:ext cx="388363" cy="659549"/>
            <a:chOff x="9799635" y="1598631"/>
            <a:chExt cx="371060" cy="479171"/>
          </a:xfrm>
        </xdr:grpSpPr>
        <xdr:sp macro="" textlink="">
          <xdr:nvSpPr>
            <xdr:cNvPr id="53" name="Textfeld 52">
              <a:extLst>
                <a:ext uri="{FF2B5EF4-FFF2-40B4-BE49-F238E27FC236}">
                  <a16:creationId xmlns:a16="http://schemas.microsoft.com/office/drawing/2014/main" id="{EC89C7F0-B83B-F7FA-7424-48104D57861F}"/>
                </a:ext>
              </a:extLst>
            </xdr:cNvPr>
            <xdr:cNvSpPr txBox="1"/>
          </xdr:nvSpPr>
          <xdr:spPr>
            <a:xfrm>
              <a:off x="9799635" y="1598631"/>
              <a:ext cx="371060" cy="4791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400" i="1">
                  <a:solidFill>
                    <a:schemeClr val="accent1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p</a:t>
              </a:r>
            </a:p>
            <a:p>
              <a:pPr algn="ctr"/>
              <a:r>
                <a:rPr lang="de-DE" sz="1400" i="1">
                  <a:solidFill>
                    <a:schemeClr val="accent1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p</a:t>
              </a:r>
              <a:r>
                <a:rPr lang="de-DE" sz="1400" baseline="-25000">
                  <a:solidFill>
                    <a:schemeClr val="accent1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0</a:t>
              </a:r>
            </a:p>
          </xdr:txBody>
        </xdr:sp>
        <xdr:cxnSp macro="">
          <xdr:nvCxnSpPr>
            <xdr:cNvPr id="54" name="Gerader Verbinder 53">
              <a:extLst>
                <a:ext uri="{FF2B5EF4-FFF2-40B4-BE49-F238E27FC236}">
                  <a16:creationId xmlns:a16="http://schemas.microsoft.com/office/drawing/2014/main" id="{362B43FF-D65A-65AC-E65B-FA77A0E1F0A3}"/>
                </a:ext>
              </a:extLst>
            </xdr:cNvPr>
            <xdr:cNvCxnSpPr/>
          </xdr:nvCxnSpPr>
          <xdr:spPr>
            <a:xfrm>
              <a:off x="9885947" y="1844946"/>
              <a:ext cx="200526" cy="0"/>
            </a:xfrm>
            <a:prstGeom prst="line">
              <a:avLst/>
            </a:prstGeom>
            <a:ln w="9525">
              <a:solidFill>
                <a:schemeClr val="accent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56" name="Textfeld 55">
            <a:extLst>
              <a:ext uri="{FF2B5EF4-FFF2-40B4-BE49-F238E27FC236}">
                <a16:creationId xmlns:a16="http://schemas.microsoft.com/office/drawing/2014/main" id="{7976C38F-7EB3-4585-8A9E-5A6F4D697B26}"/>
              </a:ext>
            </a:extLst>
          </xdr:cNvPr>
          <xdr:cNvSpPr txBox="1"/>
        </xdr:nvSpPr>
        <xdr:spPr>
          <a:xfrm>
            <a:off x="7704174" y="5284673"/>
            <a:ext cx="612927" cy="4851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400" i="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0,528</a:t>
            </a:r>
            <a:endParaRPr lang="de-DE" sz="1100" i="0">
              <a:solidFill>
                <a:schemeClr val="accent1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58" name="Textfeld 57">
            <a:extLst>
              <a:ext uri="{FF2B5EF4-FFF2-40B4-BE49-F238E27FC236}">
                <a16:creationId xmlns:a16="http://schemas.microsoft.com/office/drawing/2014/main" id="{D3585799-1F07-4294-A358-A62D37FF3796}"/>
              </a:ext>
            </a:extLst>
          </xdr:cNvPr>
          <xdr:cNvSpPr txBox="1"/>
        </xdr:nvSpPr>
        <xdr:spPr>
          <a:xfrm>
            <a:off x="8335391" y="5001954"/>
            <a:ext cx="677630" cy="4829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400" i="0">
                <a:solidFill>
                  <a:srgbClr val="8E4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0,634</a:t>
            </a:r>
          </a:p>
        </xdr:txBody>
      </xdr:sp>
      <xdr:sp macro="" textlink="">
        <xdr:nvSpPr>
          <xdr:cNvPr id="2" name="Ellipse 1">
            <a:extLst>
              <a:ext uri="{FF2B5EF4-FFF2-40B4-BE49-F238E27FC236}">
                <a16:creationId xmlns:a16="http://schemas.microsoft.com/office/drawing/2014/main" id="{4D387FF9-AC1E-B6B5-AE51-1896871A0771}"/>
              </a:ext>
            </a:extLst>
          </xdr:cNvPr>
          <xdr:cNvSpPr/>
        </xdr:nvSpPr>
        <xdr:spPr>
          <a:xfrm>
            <a:off x="8195436" y="6425997"/>
            <a:ext cx="240323" cy="241328"/>
          </a:xfrm>
          <a:prstGeom prst="ellipse">
            <a:avLst/>
          </a:prstGeom>
          <a:noFill/>
          <a:ln w="952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4" name="Rechteck: abgerundete Ecken 3">
            <a:extLst>
              <a:ext uri="{FF2B5EF4-FFF2-40B4-BE49-F238E27FC236}">
                <a16:creationId xmlns:a16="http://schemas.microsoft.com/office/drawing/2014/main" id="{A1CC59B5-C9FD-D23C-C86F-753568602D6B}"/>
              </a:ext>
            </a:extLst>
          </xdr:cNvPr>
          <xdr:cNvSpPr/>
        </xdr:nvSpPr>
        <xdr:spPr>
          <a:xfrm>
            <a:off x="8426435" y="4710744"/>
            <a:ext cx="487497" cy="217161"/>
          </a:xfrm>
          <a:prstGeom prst="roundRect">
            <a:avLst>
              <a:gd name="adj" fmla="val 31761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de-DE" kern="1200"/>
          </a:p>
        </xdr:txBody>
      </xdr:sp>
      <xdr:sp macro="" textlink="">
        <xdr:nvSpPr>
          <xdr:cNvPr id="60" name="Textfeld 59">
            <a:extLst>
              <a:ext uri="{FF2B5EF4-FFF2-40B4-BE49-F238E27FC236}">
                <a16:creationId xmlns:a16="http://schemas.microsoft.com/office/drawing/2014/main" id="{09551B3C-56C3-47B8-93DE-C847B33EAC31}"/>
              </a:ext>
            </a:extLst>
          </xdr:cNvPr>
          <xdr:cNvSpPr txBox="1"/>
        </xdr:nvSpPr>
        <xdr:spPr>
          <a:xfrm>
            <a:off x="8341200" y="4582147"/>
            <a:ext cx="666011" cy="4816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400" i="0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0,833</a:t>
            </a:r>
            <a:endParaRPr lang="de-DE" sz="1100" i="0">
              <a:solidFill>
                <a:srgbClr val="FF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0.40672</cdr:x>
      <cdr:y>0.74572</cdr:y>
    </cdr:from>
    <cdr:to>
      <cdr:x>0.50411</cdr:x>
      <cdr:y>0.77849</cdr:y>
    </cdr:to>
    <cdr:sp macro="" textlink="">
      <cdr:nvSpPr>
        <cdr:cNvPr id="2" name="Rechteck: abgerundete Ecken 1">
          <a:extLst xmlns:a="http://schemas.openxmlformats.org/drawingml/2006/main">
            <a:ext uri="{FF2B5EF4-FFF2-40B4-BE49-F238E27FC236}">
              <a16:creationId xmlns:a16="http://schemas.microsoft.com/office/drawing/2014/main" id="{8C7A5F40-9C84-C34A-DE66-9FC00ABCF6E4}"/>
            </a:ext>
          </a:extLst>
        </cdr:cNvPr>
        <cdr:cNvSpPr/>
      </cdr:nvSpPr>
      <cdr:spPr>
        <a:xfrm xmlns:a="http://schemas.openxmlformats.org/drawingml/2006/main">
          <a:off x="2038864" y="4876359"/>
          <a:ext cx="488190" cy="214292"/>
        </a:xfrm>
        <a:prstGeom xmlns:a="http://schemas.openxmlformats.org/drawingml/2006/main" prst="roundRect">
          <a:avLst>
            <a:gd name="adj" fmla="val 31761"/>
          </a:avLst>
        </a:prstGeom>
        <a:solidFill xmlns:a="http://schemas.openxmlformats.org/drawingml/2006/main">
          <a:sysClr val="window" lastClr="FFFFFF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de-DE" kern="1200"/>
        </a:p>
      </cdr:txBody>
    </cdr:sp>
  </cdr:relSizeAnchor>
  <cdr:relSizeAnchor xmlns:cdr="http://schemas.openxmlformats.org/drawingml/2006/chartDrawing">
    <cdr:from>
      <cdr:x>0.27159</cdr:x>
      <cdr:y>0.78958</cdr:y>
    </cdr:from>
    <cdr:to>
      <cdr:x>0.36897</cdr:x>
      <cdr:y>0.82235</cdr:y>
    </cdr:to>
    <cdr:sp macro="" textlink="">
      <cdr:nvSpPr>
        <cdr:cNvPr id="3" name="Rechteck: abgerundete Ecken 2">
          <a:extLst xmlns:a="http://schemas.openxmlformats.org/drawingml/2006/main">
            <a:ext uri="{FF2B5EF4-FFF2-40B4-BE49-F238E27FC236}">
              <a16:creationId xmlns:a16="http://schemas.microsoft.com/office/drawing/2014/main" id="{A1CC59B5-C9FD-D23C-C86F-753568602D6B}"/>
            </a:ext>
          </a:extLst>
        </cdr:cNvPr>
        <cdr:cNvSpPr/>
      </cdr:nvSpPr>
      <cdr:spPr>
        <a:xfrm xmlns:a="http://schemas.openxmlformats.org/drawingml/2006/main">
          <a:off x="1361439" y="5219896"/>
          <a:ext cx="488190" cy="216647"/>
        </a:xfrm>
        <a:prstGeom xmlns:a="http://schemas.openxmlformats.org/drawingml/2006/main" prst="roundRect">
          <a:avLst>
            <a:gd name="adj" fmla="val 31761"/>
          </a:avLst>
        </a:prstGeom>
        <a:solidFill xmlns:a="http://schemas.openxmlformats.org/drawingml/2006/main">
          <a:sysClr val="window" lastClr="FFFFFF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e-DE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1058</xdr:colOff>
      <xdr:row>1</xdr:row>
      <xdr:rowOff>1710</xdr:rowOff>
    </xdr:from>
    <xdr:to>
      <xdr:col>50</xdr:col>
      <xdr:colOff>261257</xdr:colOff>
      <xdr:row>49</xdr:row>
      <xdr:rowOff>194576</xdr:rowOff>
    </xdr:to>
    <xdr:grpSp>
      <xdr:nvGrpSpPr>
        <xdr:cNvPr id="14" name="Gruppieren 13">
          <a:extLst>
            <a:ext uri="{FF2B5EF4-FFF2-40B4-BE49-F238E27FC236}">
              <a16:creationId xmlns:a16="http://schemas.microsoft.com/office/drawing/2014/main" id="{A40A5DE6-4D39-6A91-F910-C2B84F10D99C}"/>
            </a:ext>
          </a:extLst>
        </xdr:cNvPr>
        <xdr:cNvGrpSpPr/>
      </xdr:nvGrpSpPr>
      <xdr:grpSpPr>
        <a:xfrm>
          <a:off x="24755172" y="197653"/>
          <a:ext cx="6617456" cy="9598123"/>
          <a:chOff x="24319744" y="197653"/>
          <a:chExt cx="6617456" cy="9598123"/>
        </a:xfrm>
      </xdr:grpSpPr>
      <xdr:graphicFrame macro="">
        <xdr:nvGraphicFramePr>
          <xdr:cNvPr id="3" name="Diagramm 2">
            <a:extLst>
              <a:ext uri="{FF2B5EF4-FFF2-40B4-BE49-F238E27FC236}">
                <a16:creationId xmlns:a16="http://schemas.microsoft.com/office/drawing/2014/main" id="{6ED2887C-6DBE-8AE2-F68B-0D3A2F8830B6}"/>
              </a:ext>
            </a:extLst>
          </xdr:cNvPr>
          <xdr:cNvGraphicFramePr/>
        </xdr:nvGraphicFramePr>
        <xdr:xfrm>
          <a:off x="24319744" y="197653"/>
          <a:ext cx="6617456" cy="959812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5" name="Textfeld 4">
            <a:extLst>
              <a:ext uri="{FF2B5EF4-FFF2-40B4-BE49-F238E27FC236}">
                <a16:creationId xmlns:a16="http://schemas.microsoft.com/office/drawing/2014/main" id="{758F0CF9-E45C-8B7F-D901-3CA0452609EC}"/>
              </a:ext>
            </a:extLst>
          </xdr:cNvPr>
          <xdr:cNvSpPr txBox="1"/>
        </xdr:nvSpPr>
        <xdr:spPr>
          <a:xfrm>
            <a:off x="28875302" y="848027"/>
            <a:ext cx="939025" cy="3073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Ma</a:t>
            </a:r>
            <a:r>
              <a:rPr lang="de-DE" sz="1100" baseline="-250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</a:t>
            </a:r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= ∞</a:t>
            </a:r>
          </a:p>
        </xdr:txBody>
      </xdr:sp>
      <xdr:sp macro="" textlink="">
        <xdr:nvSpPr>
          <xdr:cNvPr id="6" name="Textfeld 5">
            <a:extLst>
              <a:ext uri="{FF2B5EF4-FFF2-40B4-BE49-F238E27FC236}">
                <a16:creationId xmlns:a16="http://schemas.microsoft.com/office/drawing/2014/main" id="{D7299955-133C-48C0-8855-AE855D7608A4}"/>
              </a:ext>
            </a:extLst>
          </xdr:cNvPr>
          <xdr:cNvSpPr txBox="1"/>
        </xdr:nvSpPr>
        <xdr:spPr>
          <a:xfrm>
            <a:off x="29121566" y="1087254"/>
            <a:ext cx="429328" cy="3001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10</a:t>
            </a:r>
          </a:p>
        </xdr:txBody>
      </xdr:sp>
      <xdr:sp macro="" textlink="">
        <xdr:nvSpPr>
          <xdr:cNvPr id="7" name="Textfeld 6">
            <a:extLst>
              <a:ext uri="{FF2B5EF4-FFF2-40B4-BE49-F238E27FC236}">
                <a16:creationId xmlns:a16="http://schemas.microsoft.com/office/drawing/2014/main" id="{852CCE86-EB33-43B1-A76F-3E3F3C5769FF}"/>
              </a:ext>
            </a:extLst>
          </xdr:cNvPr>
          <xdr:cNvSpPr txBox="1"/>
        </xdr:nvSpPr>
        <xdr:spPr>
          <a:xfrm>
            <a:off x="29058555" y="1669084"/>
            <a:ext cx="431506" cy="3001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5</a:t>
            </a:r>
          </a:p>
        </xdr:txBody>
      </xdr:sp>
      <xdr:sp macro="" textlink="">
        <xdr:nvSpPr>
          <xdr:cNvPr id="8" name="Textfeld 7">
            <a:extLst>
              <a:ext uri="{FF2B5EF4-FFF2-40B4-BE49-F238E27FC236}">
                <a16:creationId xmlns:a16="http://schemas.microsoft.com/office/drawing/2014/main" id="{F9A5E98B-D7F7-45CD-9E7F-4E8719E6633D}"/>
              </a:ext>
            </a:extLst>
          </xdr:cNvPr>
          <xdr:cNvSpPr txBox="1"/>
        </xdr:nvSpPr>
        <xdr:spPr>
          <a:xfrm>
            <a:off x="29018994" y="2075394"/>
            <a:ext cx="431506" cy="3001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4</a:t>
            </a:r>
          </a:p>
        </xdr:txBody>
      </xdr:sp>
      <xdr:sp macro="" textlink="">
        <xdr:nvSpPr>
          <xdr:cNvPr id="9" name="Textfeld 8">
            <a:extLst>
              <a:ext uri="{FF2B5EF4-FFF2-40B4-BE49-F238E27FC236}">
                <a16:creationId xmlns:a16="http://schemas.microsoft.com/office/drawing/2014/main" id="{120F1BC3-0C57-47F1-B2DF-A1C5DCA95C93}"/>
              </a:ext>
            </a:extLst>
          </xdr:cNvPr>
          <xdr:cNvSpPr txBox="1"/>
        </xdr:nvSpPr>
        <xdr:spPr>
          <a:xfrm>
            <a:off x="28969542" y="2931808"/>
            <a:ext cx="431506" cy="3001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3</a:t>
            </a:r>
          </a:p>
        </xdr:txBody>
      </xdr:sp>
      <xdr:sp macro="" textlink="">
        <xdr:nvSpPr>
          <xdr:cNvPr id="10" name="Textfeld 9">
            <a:extLst>
              <a:ext uri="{FF2B5EF4-FFF2-40B4-BE49-F238E27FC236}">
                <a16:creationId xmlns:a16="http://schemas.microsoft.com/office/drawing/2014/main" id="{D9AAAA11-9CC6-425C-9E95-A49F17526970}"/>
              </a:ext>
            </a:extLst>
          </xdr:cNvPr>
          <xdr:cNvSpPr txBox="1"/>
        </xdr:nvSpPr>
        <xdr:spPr>
          <a:xfrm>
            <a:off x="28929980" y="3862422"/>
            <a:ext cx="431506" cy="3001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2,4</a:t>
            </a:r>
          </a:p>
        </xdr:txBody>
      </xdr:sp>
      <xdr:sp macro="" textlink="">
        <xdr:nvSpPr>
          <xdr:cNvPr id="11" name="Textfeld 10">
            <a:extLst>
              <a:ext uri="{FF2B5EF4-FFF2-40B4-BE49-F238E27FC236}">
                <a16:creationId xmlns:a16="http://schemas.microsoft.com/office/drawing/2014/main" id="{303F63E8-F401-4D57-98C0-6106AA8D9DA9}"/>
              </a:ext>
            </a:extLst>
          </xdr:cNvPr>
          <xdr:cNvSpPr txBox="1"/>
        </xdr:nvSpPr>
        <xdr:spPr>
          <a:xfrm>
            <a:off x="28925038" y="4106939"/>
            <a:ext cx="431506" cy="3001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2,3</a:t>
            </a:r>
          </a:p>
        </xdr:txBody>
      </xdr:sp>
      <xdr:sp macro="" textlink="">
        <xdr:nvSpPr>
          <xdr:cNvPr id="12" name="Textfeld 11">
            <a:extLst>
              <a:ext uri="{FF2B5EF4-FFF2-40B4-BE49-F238E27FC236}">
                <a16:creationId xmlns:a16="http://schemas.microsoft.com/office/drawing/2014/main" id="{3176CC5E-5CFF-42F1-8218-4ED31FA87C46}"/>
              </a:ext>
            </a:extLst>
          </xdr:cNvPr>
          <xdr:cNvSpPr txBox="1"/>
        </xdr:nvSpPr>
        <xdr:spPr>
          <a:xfrm>
            <a:off x="28925034" y="4338066"/>
            <a:ext cx="431506" cy="3086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2,2</a:t>
            </a:r>
          </a:p>
        </xdr:txBody>
      </xdr:sp>
      <xdr:sp macro="" textlink="">
        <xdr:nvSpPr>
          <xdr:cNvPr id="13" name="Textfeld 12">
            <a:extLst>
              <a:ext uri="{FF2B5EF4-FFF2-40B4-BE49-F238E27FC236}">
                <a16:creationId xmlns:a16="http://schemas.microsoft.com/office/drawing/2014/main" id="{079871EC-D1FE-46BC-90AC-3EF97E7D6A8E}"/>
              </a:ext>
            </a:extLst>
          </xdr:cNvPr>
          <xdr:cNvSpPr txBox="1"/>
        </xdr:nvSpPr>
        <xdr:spPr>
          <a:xfrm>
            <a:off x="28925034" y="4602049"/>
            <a:ext cx="431506" cy="3001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2,1</a:t>
            </a:r>
          </a:p>
        </xdr:txBody>
      </xdr:sp>
      <xdr:sp macro="" textlink="">
        <xdr:nvSpPr>
          <xdr:cNvPr id="15" name="Textfeld 14">
            <a:extLst>
              <a:ext uri="{FF2B5EF4-FFF2-40B4-BE49-F238E27FC236}">
                <a16:creationId xmlns:a16="http://schemas.microsoft.com/office/drawing/2014/main" id="{79FEE250-A594-4A4F-B723-FEAECD56611C}"/>
              </a:ext>
            </a:extLst>
          </xdr:cNvPr>
          <xdr:cNvSpPr txBox="1"/>
        </xdr:nvSpPr>
        <xdr:spPr>
          <a:xfrm>
            <a:off x="28915144" y="4900790"/>
            <a:ext cx="431506" cy="30428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</a:t>
            </a:r>
          </a:p>
        </xdr:txBody>
      </xdr:sp>
      <xdr:sp macro="" textlink="">
        <xdr:nvSpPr>
          <xdr:cNvPr id="16" name="Textfeld 15">
            <a:extLst>
              <a:ext uri="{FF2B5EF4-FFF2-40B4-BE49-F238E27FC236}">
                <a16:creationId xmlns:a16="http://schemas.microsoft.com/office/drawing/2014/main" id="{E3D8A181-DDF9-4E57-B0AB-8FDFAA1D2323}"/>
              </a:ext>
            </a:extLst>
          </xdr:cNvPr>
          <xdr:cNvSpPr txBox="1"/>
        </xdr:nvSpPr>
        <xdr:spPr>
          <a:xfrm>
            <a:off x="28925034" y="5213944"/>
            <a:ext cx="431506" cy="3001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1,9</a:t>
            </a:r>
          </a:p>
        </xdr:txBody>
      </xdr:sp>
      <xdr:sp macro="" textlink="">
        <xdr:nvSpPr>
          <xdr:cNvPr id="17" name="Textfeld 16">
            <a:extLst>
              <a:ext uri="{FF2B5EF4-FFF2-40B4-BE49-F238E27FC236}">
                <a16:creationId xmlns:a16="http://schemas.microsoft.com/office/drawing/2014/main" id="{EF8C7861-7812-4CD0-B7BE-57E35C26779E}"/>
              </a:ext>
            </a:extLst>
          </xdr:cNvPr>
          <xdr:cNvSpPr txBox="1"/>
        </xdr:nvSpPr>
        <xdr:spPr>
          <a:xfrm>
            <a:off x="28934501" y="5555186"/>
            <a:ext cx="431506" cy="3089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1,8</a:t>
            </a:r>
          </a:p>
        </xdr:txBody>
      </xdr:sp>
      <xdr:sp macro="" textlink="">
        <xdr:nvSpPr>
          <xdr:cNvPr id="18" name="Textfeld 17">
            <a:extLst>
              <a:ext uri="{FF2B5EF4-FFF2-40B4-BE49-F238E27FC236}">
                <a16:creationId xmlns:a16="http://schemas.microsoft.com/office/drawing/2014/main" id="{54ED76F0-8023-44D6-93A3-A21CF19753A2}"/>
              </a:ext>
            </a:extLst>
          </xdr:cNvPr>
          <xdr:cNvSpPr txBox="1"/>
        </xdr:nvSpPr>
        <xdr:spPr>
          <a:xfrm>
            <a:off x="28948065" y="5933550"/>
            <a:ext cx="431506" cy="3089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1,7</a:t>
            </a:r>
          </a:p>
        </xdr:txBody>
      </xdr:sp>
      <xdr:sp macro="" textlink="">
        <xdr:nvSpPr>
          <xdr:cNvPr id="19" name="Textfeld 18">
            <a:extLst>
              <a:ext uri="{FF2B5EF4-FFF2-40B4-BE49-F238E27FC236}">
                <a16:creationId xmlns:a16="http://schemas.microsoft.com/office/drawing/2014/main" id="{34EEF5DC-B2EE-4BBE-B676-8ABF950C6FF1}"/>
              </a:ext>
            </a:extLst>
          </xdr:cNvPr>
          <xdr:cNvSpPr txBox="1"/>
        </xdr:nvSpPr>
        <xdr:spPr>
          <a:xfrm>
            <a:off x="28988758" y="6360852"/>
            <a:ext cx="431506" cy="30446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1,6</a:t>
            </a:r>
          </a:p>
        </xdr:txBody>
      </xdr:sp>
      <xdr:sp macro="" textlink="">
        <xdr:nvSpPr>
          <xdr:cNvPr id="20" name="Textfeld 19">
            <a:extLst>
              <a:ext uri="{FF2B5EF4-FFF2-40B4-BE49-F238E27FC236}">
                <a16:creationId xmlns:a16="http://schemas.microsoft.com/office/drawing/2014/main" id="{79C1EDB3-E342-49B1-9EB7-D20095F2A06C}"/>
              </a:ext>
            </a:extLst>
          </xdr:cNvPr>
          <xdr:cNvSpPr txBox="1"/>
        </xdr:nvSpPr>
        <xdr:spPr>
          <a:xfrm>
            <a:off x="29038493" y="6814851"/>
            <a:ext cx="431506" cy="3001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1,5</a:t>
            </a:r>
          </a:p>
        </xdr:txBody>
      </xdr:sp>
      <xdr:sp macro="" textlink="">
        <xdr:nvSpPr>
          <xdr:cNvPr id="21" name="Textfeld 20">
            <a:extLst>
              <a:ext uri="{FF2B5EF4-FFF2-40B4-BE49-F238E27FC236}">
                <a16:creationId xmlns:a16="http://schemas.microsoft.com/office/drawing/2014/main" id="{D3F288FA-7E72-405A-A0C4-59026C9E3007}"/>
              </a:ext>
            </a:extLst>
          </xdr:cNvPr>
          <xdr:cNvSpPr txBox="1"/>
        </xdr:nvSpPr>
        <xdr:spPr>
          <a:xfrm>
            <a:off x="29117534" y="7277844"/>
            <a:ext cx="429328" cy="3089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1,4</a:t>
            </a:r>
          </a:p>
        </xdr:txBody>
      </xdr:sp>
      <xdr:sp macro="" textlink="">
        <xdr:nvSpPr>
          <xdr:cNvPr id="22" name="Textfeld 21">
            <a:extLst>
              <a:ext uri="{FF2B5EF4-FFF2-40B4-BE49-F238E27FC236}">
                <a16:creationId xmlns:a16="http://schemas.microsoft.com/office/drawing/2014/main" id="{99433C86-6432-405E-97EB-3579AF1D4A17}"/>
              </a:ext>
            </a:extLst>
          </xdr:cNvPr>
          <xdr:cNvSpPr txBox="1"/>
        </xdr:nvSpPr>
        <xdr:spPr>
          <a:xfrm>
            <a:off x="29217003" y="7767432"/>
            <a:ext cx="429328" cy="3001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1,3</a:t>
            </a:r>
          </a:p>
        </xdr:txBody>
      </xdr:sp>
      <xdr:sp macro="" textlink="">
        <xdr:nvSpPr>
          <xdr:cNvPr id="23" name="Textfeld 22">
            <a:extLst>
              <a:ext uri="{FF2B5EF4-FFF2-40B4-BE49-F238E27FC236}">
                <a16:creationId xmlns:a16="http://schemas.microsoft.com/office/drawing/2014/main" id="{42B6EC41-510F-4787-A007-9F35E1F92239}"/>
              </a:ext>
            </a:extLst>
          </xdr:cNvPr>
          <xdr:cNvSpPr txBox="1"/>
        </xdr:nvSpPr>
        <xdr:spPr>
          <a:xfrm>
            <a:off x="29382032" y="8257119"/>
            <a:ext cx="427066" cy="3089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1,2</a:t>
            </a:r>
          </a:p>
        </xdr:txBody>
      </xdr:sp>
      <xdr:sp macro="" textlink="">
        <xdr:nvSpPr>
          <xdr:cNvPr id="24" name="Textfeld 23">
            <a:extLst>
              <a:ext uri="{FF2B5EF4-FFF2-40B4-BE49-F238E27FC236}">
                <a16:creationId xmlns:a16="http://schemas.microsoft.com/office/drawing/2014/main" id="{DDB7B3FA-2B80-459D-A14E-0E6C1C219C24}"/>
              </a:ext>
            </a:extLst>
          </xdr:cNvPr>
          <xdr:cNvSpPr txBox="1"/>
        </xdr:nvSpPr>
        <xdr:spPr>
          <a:xfrm>
            <a:off x="29653311" y="8697772"/>
            <a:ext cx="429243" cy="3089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1,1</a:t>
            </a:r>
          </a:p>
        </xdr:txBody>
      </xdr:sp>
      <xdr:sp macro="" textlink="">
        <xdr:nvSpPr>
          <xdr:cNvPr id="2" name="Textfeld 1">
            <a:extLst>
              <a:ext uri="{FF2B5EF4-FFF2-40B4-BE49-F238E27FC236}">
                <a16:creationId xmlns:a16="http://schemas.microsoft.com/office/drawing/2014/main" id="{213B55D1-97D5-4921-A462-465C8A92DC70}"/>
              </a:ext>
            </a:extLst>
          </xdr:cNvPr>
          <xdr:cNvSpPr txBox="1"/>
        </xdr:nvSpPr>
        <xdr:spPr>
          <a:xfrm rot="16200000">
            <a:off x="23577677" y="4847104"/>
            <a:ext cx="1858806" cy="3071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Umlenkungswinkel </a:t>
            </a:r>
            <a:r>
              <a:rPr lang="el-GR" sz="1100" i="1">
                <a:solidFill>
                  <a:sysClr val="windowText" lastClr="000000"/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rPr>
              <a:t>ϑ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 [</a:t>
            </a:r>
            <a:r>
              <a:rPr lang="el-GR" sz="5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°</a:t>
            </a:r>
            <a:r>
              <a:rPr lang="el-GR" sz="5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]</a:t>
            </a:r>
          </a:p>
        </xdr:txBody>
      </xdr:sp>
      <xdr:sp macro="" textlink="">
        <xdr:nvSpPr>
          <xdr:cNvPr id="4" name="Textfeld 3">
            <a:extLst>
              <a:ext uri="{FF2B5EF4-FFF2-40B4-BE49-F238E27FC236}">
                <a16:creationId xmlns:a16="http://schemas.microsoft.com/office/drawing/2014/main" id="{5A2C3E56-D550-4246-856E-7BAE3938DFF3}"/>
              </a:ext>
            </a:extLst>
          </xdr:cNvPr>
          <xdr:cNvSpPr txBox="1"/>
        </xdr:nvSpPr>
        <xdr:spPr>
          <a:xfrm>
            <a:off x="26955200" y="9429991"/>
            <a:ext cx="1301553" cy="3030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Stoßwinkel </a:t>
            </a:r>
            <a:r>
              <a:rPr lang="el-GR" sz="1100" i="1">
                <a:solidFill>
                  <a:sysClr val="windowText" lastClr="000000"/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rPr>
              <a:t>σ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 [</a:t>
            </a:r>
            <a:r>
              <a:rPr lang="el-GR" sz="5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°</a:t>
            </a:r>
            <a:r>
              <a:rPr lang="el-GR" sz="5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]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1058</xdr:colOff>
      <xdr:row>1</xdr:row>
      <xdr:rowOff>1710</xdr:rowOff>
    </xdr:from>
    <xdr:to>
      <xdr:col>20</xdr:col>
      <xdr:colOff>261257</xdr:colOff>
      <xdr:row>50</xdr:row>
      <xdr:rowOff>0</xdr:rowOff>
    </xdr:to>
    <xdr:grpSp>
      <xdr:nvGrpSpPr>
        <xdr:cNvPr id="4" name="Gruppieren 3">
          <a:extLst>
            <a:ext uri="{FF2B5EF4-FFF2-40B4-BE49-F238E27FC236}">
              <a16:creationId xmlns:a16="http://schemas.microsoft.com/office/drawing/2014/main" id="{8E903D2C-539B-5386-6E36-2DE5C5381F23}"/>
            </a:ext>
          </a:extLst>
        </xdr:cNvPr>
        <xdr:cNvGrpSpPr/>
      </xdr:nvGrpSpPr>
      <xdr:grpSpPr>
        <a:xfrm>
          <a:off x="9180917" y="198934"/>
          <a:ext cx="6571352" cy="9662242"/>
          <a:chOff x="9158310" y="200493"/>
          <a:chExt cx="6621243" cy="9738637"/>
        </a:xfrm>
      </xdr:grpSpPr>
      <xdr:graphicFrame macro="">
        <xdr:nvGraphicFramePr>
          <xdr:cNvPr id="3" name="Diagramm 2">
            <a:extLst>
              <a:ext uri="{FF2B5EF4-FFF2-40B4-BE49-F238E27FC236}">
                <a16:creationId xmlns:a16="http://schemas.microsoft.com/office/drawing/2014/main" id="{C5FD250F-7E33-B4C5-B89F-9AD0E75DEECA}"/>
              </a:ext>
            </a:extLst>
          </xdr:cNvPr>
          <xdr:cNvGraphicFramePr/>
        </xdr:nvGraphicFramePr>
        <xdr:xfrm>
          <a:off x="9158310" y="200493"/>
          <a:ext cx="6621243" cy="973863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3" name="Textfeld 22">
            <a:extLst>
              <a:ext uri="{FF2B5EF4-FFF2-40B4-BE49-F238E27FC236}">
                <a16:creationId xmlns:a16="http://schemas.microsoft.com/office/drawing/2014/main" id="{FFB3756E-1178-43A9-BFF6-B66DBACBAA90}"/>
              </a:ext>
            </a:extLst>
          </xdr:cNvPr>
          <xdr:cNvSpPr txBox="1"/>
        </xdr:nvSpPr>
        <xdr:spPr>
          <a:xfrm rot="2108448">
            <a:off x="11274989" y="7274765"/>
            <a:ext cx="1922649" cy="3062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3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Ablenkungswinkel</a:t>
            </a:r>
            <a:r>
              <a:rPr lang="de-DE" sz="1100" baseline="0">
                <a:solidFill>
                  <a:schemeClr val="accent3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el-GR" sz="1100" i="1" baseline="0">
                <a:solidFill>
                  <a:schemeClr val="accent3"/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rPr>
              <a:t>ϑ</a:t>
            </a:r>
            <a:r>
              <a:rPr lang="de-DE" sz="1100" baseline="0">
                <a:solidFill>
                  <a:schemeClr val="accent3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= 0°</a:t>
            </a:r>
            <a:endParaRPr lang="de-DE" sz="110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24" name="Textfeld 23">
            <a:extLst>
              <a:ext uri="{FF2B5EF4-FFF2-40B4-BE49-F238E27FC236}">
                <a16:creationId xmlns:a16="http://schemas.microsoft.com/office/drawing/2014/main" id="{FA404615-0895-4D18-9741-0A83EE33F0E0}"/>
              </a:ext>
            </a:extLst>
          </xdr:cNvPr>
          <xdr:cNvSpPr txBox="1"/>
        </xdr:nvSpPr>
        <xdr:spPr>
          <a:xfrm>
            <a:off x="12503360" y="6772978"/>
            <a:ext cx="343889" cy="3071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 baseline="0">
                <a:solidFill>
                  <a:schemeClr val="accent3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5°</a:t>
            </a:r>
            <a:endParaRPr lang="de-DE" sz="110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25" name="Textfeld 24">
            <a:extLst>
              <a:ext uri="{FF2B5EF4-FFF2-40B4-BE49-F238E27FC236}">
                <a16:creationId xmlns:a16="http://schemas.microsoft.com/office/drawing/2014/main" id="{07D98B89-1247-4B4F-BE00-6EB35867A69A}"/>
              </a:ext>
            </a:extLst>
          </xdr:cNvPr>
          <xdr:cNvSpPr txBox="1"/>
        </xdr:nvSpPr>
        <xdr:spPr>
          <a:xfrm>
            <a:off x="12695145" y="6408635"/>
            <a:ext cx="457914" cy="3071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 baseline="0">
                <a:solidFill>
                  <a:schemeClr val="accent3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10°</a:t>
            </a:r>
            <a:endParaRPr lang="de-DE" sz="110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26" name="Textfeld 25">
            <a:extLst>
              <a:ext uri="{FF2B5EF4-FFF2-40B4-BE49-F238E27FC236}">
                <a16:creationId xmlns:a16="http://schemas.microsoft.com/office/drawing/2014/main" id="{B5C3253F-E506-41AE-ACAE-3F6A5C66DA74}"/>
              </a:ext>
            </a:extLst>
          </xdr:cNvPr>
          <xdr:cNvSpPr txBox="1"/>
        </xdr:nvSpPr>
        <xdr:spPr>
          <a:xfrm>
            <a:off x="12946450" y="5977718"/>
            <a:ext cx="457914" cy="3071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 baseline="0">
                <a:solidFill>
                  <a:schemeClr val="accent3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15°</a:t>
            </a:r>
            <a:endParaRPr lang="de-DE" sz="110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27" name="Textfeld 26">
            <a:extLst>
              <a:ext uri="{FF2B5EF4-FFF2-40B4-BE49-F238E27FC236}">
                <a16:creationId xmlns:a16="http://schemas.microsoft.com/office/drawing/2014/main" id="{D8CFCB22-2A56-42B0-B705-78EE61710944}"/>
              </a:ext>
            </a:extLst>
          </xdr:cNvPr>
          <xdr:cNvSpPr txBox="1"/>
        </xdr:nvSpPr>
        <xdr:spPr>
          <a:xfrm>
            <a:off x="13258875" y="5487796"/>
            <a:ext cx="456315" cy="306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 baseline="0">
                <a:solidFill>
                  <a:schemeClr val="accent3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20°</a:t>
            </a:r>
            <a:endParaRPr lang="de-DE" sz="110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2" name="Textfeld 1">
            <a:extLst>
              <a:ext uri="{FF2B5EF4-FFF2-40B4-BE49-F238E27FC236}">
                <a16:creationId xmlns:a16="http://schemas.microsoft.com/office/drawing/2014/main" id="{4B436804-7C9B-4733-A9ED-D7D3FDFD3EBE}"/>
              </a:ext>
            </a:extLst>
          </xdr:cNvPr>
          <xdr:cNvSpPr txBox="1"/>
        </xdr:nvSpPr>
        <xdr:spPr>
          <a:xfrm rot="16200000">
            <a:off x="8391273" y="4919990"/>
            <a:ext cx="1908711" cy="308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Stoßwinkel </a:t>
            </a:r>
            <a:r>
              <a:rPr lang="el-GR" sz="1100" i="1">
                <a:solidFill>
                  <a:sysClr val="windowText" lastClr="000000"/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rPr>
              <a:t>σ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 [</a:t>
            </a:r>
            <a:r>
              <a:rPr lang="el-GR" sz="5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°</a:t>
            </a:r>
            <a:r>
              <a:rPr lang="el-GR" sz="5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]</a:t>
            </a:r>
          </a:p>
        </xdr:txBody>
      </xdr:sp>
    </xdr:grp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0.67316</cdr:x>
      <cdr:y>0.48565</cdr:y>
    </cdr:from>
    <cdr:to>
      <cdr:x>0.74221</cdr:x>
      <cdr:y>0.51714</cdr:y>
    </cdr:to>
    <cdr:sp macro="" textlink="">
      <cdr:nvSpPr>
        <cdr:cNvPr id="2" name="Textfeld 24">
          <a:extLst xmlns:a="http://schemas.openxmlformats.org/drawingml/2006/main">
            <a:ext uri="{FF2B5EF4-FFF2-40B4-BE49-F238E27FC236}">
              <a16:creationId xmlns:a16="http://schemas.microsoft.com/office/drawing/2014/main" id="{07D98B89-1247-4B4F-BE00-6EB35867A69A}"/>
            </a:ext>
          </a:extLst>
        </cdr:cNvPr>
        <cdr:cNvSpPr txBox="1"/>
      </cdr:nvSpPr>
      <cdr:spPr>
        <a:xfrm xmlns:a="http://schemas.openxmlformats.org/drawingml/2006/main">
          <a:off x="4457148" y="4728818"/>
          <a:ext cx="457199" cy="3066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de-DE" sz="1100" baseline="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25°</a:t>
          </a:r>
          <a:endParaRPr lang="de-DE" sz="1100">
            <a:solidFill>
              <a:schemeClr val="accent3"/>
            </a:solidFill>
            <a:latin typeface="CMU Serif" panose="02000603000000000000" pitchFamily="2" charset="0"/>
            <a:ea typeface="CMU Serif" panose="02000603000000000000" pitchFamily="2" charset="0"/>
            <a:cs typeface="CMU Serif" panose="02000603000000000000" pitchFamily="2" charset="0"/>
          </a:endParaRPr>
        </a:p>
      </cdr:txBody>
    </cdr:sp>
  </cdr:relSizeAnchor>
  <cdr:relSizeAnchor xmlns:cdr="http://schemas.openxmlformats.org/drawingml/2006/chartDrawing">
    <cdr:from>
      <cdr:x>0.74421</cdr:x>
      <cdr:y>0.4176</cdr:y>
    </cdr:from>
    <cdr:to>
      <cdr:x>0.81326</cdr:x>
      <cdr:y>0.44909</cdr:y>
    </cdr:to>
    <cdr:sp macro="" textlink="">
      <cdr:nvSpPr>
        <cdr:cNvPr id="3" name="Textfeld 24">
          <a:extLst xmlns:a="http://schemas.openxmlformats.org/drawingml/2006/main">
            <a:ext uri="{FF2B5EF4-FFF2-40B4-BE49-F238E27FC236}">
              <a16:creationId xmlns:a16="http://schemas.microsoft.com/office/drawing/2014/main" id="{07D98B89-1247-4B4F-BE00-6EB35867A69A}"/>
            </a:ext>
          </a:extLst>
        </cdr:cNvPr>
        <cdr:cNvSpPr txBox="1"/>
      </cdr:nvSpPr>
      <cdr:spPr>
        <a:xfrm xmlns:a="http://schemas.openxmlformats.org/drawingml/2006/main">
          <a:off x="4927600" y="4066209"/>
          <a:ext cx="457199" cy="3066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de-DE" sz="1100" baseline="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30°</a:t>
          </a:r>
          <a:endParaRPr lang="de-DE" sz="1100">
            <a:solidFill>
              <a:schemeClr val="accent3"/>
            </a:solidFill>
            <a:latin typeface="CMU Serif" panose="02000603000000000000" pitchFamily="2" charset="0"/>
            <a:ea typeface="CMU Serif" panose="02000603000000000000" pitchFamily="2" charset="0"/>
            <a:cs typeface="CMU Serif" panose="02000603000000000000" pitchFamily="2" charset="0"/>
          </a:endParaRPr>
        </a:p>
      </cdr:txBody>
    </cdr:sp>
  </cdr:relSizeAnchor>
  <cdr:relSizeAnchor xmlns:cdr="http://schemas.openxmlformats.org/drawingml/2006/chartDrawing">
    <cdr:from>
      <cdr:x>0.85829</cdr:x>
      <cdr:y>0.32369</cdr:y>
    </cdr:from>
    <cdr:to>
      <cdr:x>0.92734</cdr:x>
      <cdr:y>0.35518</cdr:y>
    </cdr:to>
    <cdr:sp macro="" textlink="">
      <cdr:nvSpPr>
        <cdr:cNvPr id="4" name="Textfeld 24">
          <a:extLst xmlns:a="http://schemas.openxmlformats.org/drawingml/2006/main">
            <a:ext uri="{FF2B5EF4-FFF2-40B4-BE49-F238E27FC236}">
              <a16:creationId xmlns:a16="http://schemas.microsoft.com/office/drawing/2014/main" id="{07D98B89-1247-4B4F-BE00-6EB35867A69A}"/>
            </a:ext>
          </a:extLst>
        </cdr:cNvPr>
        <cdr:cNvSpPr txBox="1"/>
      </cdr:nvSpPr>
      <cdr:spPr>
        <a:xfrm xmlns:a="http://schemas.openxmlformats.org/drawingml/2006/main">
          <a:off x="5682973" y="3151808"/>
          <a:ext cx="457199" cy="3066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de-DE" sz="1100" baseline="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35°</a:t>
          </a:r>
          <a:endParaRPr lang="de-DE" sz="1100">
            <a:solidFill>
              <a:schemeClr val="accent3"/>
            </a:solidFill>
            <a:latin typeface="CMU Serif" panose="02000603000000000000" pitchFamily="2" charset="0"/>
            <a:ea typeface="CMU Serif" panose="02000603000000000000" pitchFamily="2" charset="0"/>
            <a:cs typeface="CMU Serif" panose="02000603000000000000" pitchFamily="2" charset="0"/>
          </a:endParaRPr>
        </a:p>
      </cdr:txBody>
    </cdr:sp>
  </cdr:relSizeAnchor>
  <cdr:relSizeAnchor xmlns:cdr="http://schemas.openxmlformats.org/drawingml/2006/chartDrawing">
    <cdr:from>
      <cdr:x>0.07972</cdr:x>
      <cdr:y>0.87966</cdr:y>
    </cdr:from>
    <cdr:to>
      <cdr:x>0.34509</cdr:x>
      <cdr:y>0.91115</cdr:y>
    </cdr:to>
    <cdr:sp macro="" textlink="">
      <cdr:nvSpPr>
        <cdr:cNvPr id="5" name="Textfeld 24">
          <a:extLst xmlns:a="http://schemas.openxmlformats.org/drawingml/2006/main">
            <a:ext uri="{FF2B5EF4-FFF2-40B4-BE49-F238E27FC236}">
              <a16:creationId xmlns:a16="http://schemas.microsoft.com/office/drawing/2014/main" id="{07D98B89-1247-4B4F-BE00-6EB35867A69A}"/>
            </a:ext>
          </a:extLst>
        </cdr:cNvPr>
        <cdr:cNvSpPr txBox="1"/>
      </cdr:nvSpPr>
      <cdr:spPr>
        <a:xfrm xmlns:a="http://schemas.openxmlformats.org/drawingml/2006/main">
          <a:off x="527878" y="8565323"/>
          <a:ext cx="1757064" cy="3066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l-GR" sz="1100" i="1" baseline="0">
              <a:solidFill>
                <a:schemeClr val="accent3"/>
              </a:solidFill>
              <a:latin typeface="Latin Modern Math" panose="02000503000000000000" pitchFamily="50" charset="0"/>
              <a:ea typeface="Latin Modern Math" panose="02000503000000000000" pitchFamily="50" charset="0"/>
              <a:cs typeface="CMU Serif" panose="02000603000000000000" pitchFamily="2" charset="0"/>
            </a:rPr>
            <a:t>ϑ</a:t>
          </a:r>
          <a:r>
            <a:rPr lang="de-DE" sz="1100" i="0" baseline="-2500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max</a:t>
          </a:r>
          <a:r>
            <a:rPr lang="de-DE" sz="1100" i="0" baseline="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 liegt bei Ma</a:t>
          </a:r>
          <a:r>
            <a:rPr lang="de-DE" sz="1100" i="0" baseline="-2500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1,min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102121</xdr:colOff>
      <xdr:row>0</xdr:row>
      <xdr:rowOff>194607</xdr:rowOff>
    </xdr:from>
    <xdr:to>
      <xdr:col>26</xdr:col>
      <xdr:colOff>519950</xdr:colOff>
      <xdr:row>49</xdr:row>
      <xdr:rowOff>192897</xdr:rowOff>
    </xdr:to>
    <xdr:grpSp>
      <xdr:nvGrpSpPr>
        <xdr:cNvPr id="21" name="Gruppieren 20">
          <a:extLst>
            <a:ext uri="{FF2B5EF4-FFF2-40B4-BE49-F238E27FC236}">
              <a16:creationId xmlns:a16="http://schemas.microsoft.com/office/drawing/2014/main" id="{843A669F-6D8B-A413-88E7-032B16793365}"/>
            </a:ext>
          </a:extLst>
        </xdr:cNvPr>
        <xdr:cNvGrpSpPr/>
      </xdr:nvGrpSpPr>
      <xdr:grpSpPr>
        <a:xfrm>
          <a:off x="15485556" y="194607"/>
          <a:ext cx="6908276" cy="9724996"/>
          <a:chOff x="15552947" y="194607"/>
          <a:chExt cx="6701970" cy="9785020"/>
        </a:xfrm>
      </xdr:grpSpPr>
      <xdr:graphicFrame macro="">
        <xdr:nvGraphicFramePr>
          <xdr:cNvPr id="3" name="Diagramm 2">
            <a:extLst>
              <a:ext uri="{FF2B5EF4-FFF2-40B4-BE49-F238E27FC236}">
                <a16:creationId xmlns:a16="http://schemas.microsoft.com/office/drawing/2014/main" id="{094CF861-8D14-3B0B-9E74-3821F8A688AE}"/>
              </a:ext>
            </a:extLst>
          </xdr:cNvPr>
          <xdr:cNvGraphicFramePr/>
        </xdr:nvGraphicFramePr>
        <xdr:xfrm>
          <a:off x="15638311" y="194607"/>
          <a:ext cx="6616606" cy="97850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6" name="Textfeld 5">
            <a:extLst>
              <a:ext uri="{FF2B5EF4-FFF2-40B4-BE49-F238E27FC236}">
                <a16:creationId xmlns:a16="http://schemas.microsoft.com/office/drawing/2014/main" id="{260A97A5-92C7-4005-923A-D68283719B86}"/>
              </a:ext>
            </a:extLst>
          </xdr:cNvPr>
          <xdr:cNvSpPr txBox="1"/>
        </xdr:nvSpPr>
        <xdr:spPr>
          <a:xfrm rot="16200000">
            <a:off x="14715453" y="4952634"/>
            <a:ext cx="2268002" cy="3079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Ruhedruckverhältnis      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 [</a:t>
            </a:r>
            <a:r>
              <a:rPr lang="el-GR" sz="5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de-DE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-</a:t>
            </a:r>
            <a:r>
              <a:rPr lang="el-GR" sz="5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]</a:t>
            </a:r>
          </a:p>
        </xdr:txBody>
      </xdr:sp>
      <xdr:grpSp>
        <xdr:nvGrpSpPr>
          <xdr:cNvPr id="10" name="Gruppieren 9">
            <a:extLst>
              <a:ext uri="{FF2B5EF4-FFF2-40B4-BE49-F238E27FC236}">
                <a16:creationId xmlns:a16="http://schemas.microsoft.com/office/drawing/2014/main" id="{94E9F43D-E0DE-38DF-7342-28FDACE616A7}"/>
              </a:ext>
            </a:extLst>
          </xdr:cNvPr>
          <xdr:cNvGrpSpPr/>
        </xdr:nvGrpSpPr>
        <xdr:grpSpPr>
          <a:xfrm rot="16200000">
            <a:off x="15559900" y="4293101"/>
            <a:ext cx="554971" cy="568877"/>
            <a:chOff x="17084177" y="6440727"/>
            <a:chExt cx="558019" cy="566227"/>
          </a:xfrm>
        </xdr:grpSpPr>
        <xdr:sp macro="" textlink="">
          <xdr:nvSpPr>
            <xdr:cNvPr id="7" name="Textfeld 6">
              <a:extLst>
                <a:ext uri="{FF2B5EF4-FFF2-40B4-BE49-F238E27FC236}">
                  <a16:creationId xmlns:a16="http://schemas.microsoft.com/office/drawing/2014/main" id="{C7E56601-707C-4181-9B00-24C1D666D6F9}"/>
                </a:ext>
              </a:extLst>
            </xdr:cNvPr>
            <xdr:cNvSpPr txBox="1"/>
          </xdr:nvSpPr>
          <xdr:spPr>
            <a:xfrm>
              <a:off x="17084177" y="6440727"/>
              <a:ext cx="558019" cy="56622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100" i="1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p</a:t>
              </a:r>
              <a:r>
                <a:rPr lang="de-DE" sz="1100" baseline="-25000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02</a:t>
              </a:r>
            </a:p>
            <a:p>
              <a:pPr algn="ctr"/>
              <a:r>
                <a:rPr lang="de-DE" sz="1100" i="1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p</a:t>
              </a:r>
              <a:r>
                <a:rPr lang="de-DE" sz="1100" baseline="-25000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01</a:t>
              </a:r>
              <a:endParaRPr lang="el-GR" sz="1100" baseline="-250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endParaRPr>
            </a:p>
          </xdr:txBody>
        </xdr:sp>
        <xdr:cxnSp macro="">
          <xdr:nvCxnSpPr>
            <xdr:cNvPr id="9" name="Gerader Verbinder 8">
              <a:extLst>
                <a:ext uri="{FF2B5EF4-FFF2-40B4-BE49-F238E27FC236}">
                  <a16:creationId xmlns:a16="http://schemas.microsoft.com/office/drawing/2014/main" id="{074B2973-0A09-2B34-8D3B-1E54BD86E284}"/>
                </a:ext>
              </a:extLst>
            </xdr:cNvPr>
            <xdr:cNvCxnSpPr/>
          </xdr:nvCxnSpPr>
          <xdr:spPr>
            <a:xfrm>
              <a:off x="17254726" y="6745158"/>
              <a:ext cx="231648" cy="0"/>
            </a:xfrm>
            <a:prstGeom prst="line">
              <a:avLst/>
            </a:prstGeom>
            <a:ln w="6350"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1" name="Textfeld 24">
            <a:extLst>
              <a:ext uri="{FF2B5EF4-FFF2-40B4-BE49-F238E27FC236}">
                <a16:creationId xmlns:a16="http://schemas.microsoft.com/office/drawing/2014/main" id="{5C102ABB-440E-2254-61DF-C7121013D782}"/>
              </a:ext>
            </a:extLst>
          </xdr:cNvPr>
          <xdr:cNvSpPr txBox="1"/>
        </xdr:nvSpPr>
        <xdr:spPr>
          <a:xfrm>
            <a:off x="20719011" y="5528451"/>
            <a:ext cx="456935" cy="30203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4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30°</a:t>
            </a:r>
            <a:endParaRPr lang="de-DE" sz="1100">
              <a:solidFill>
                <a:schemeClr val="accent4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2" name="Textfeld 24">
            <a:extLst>
              <a:ext uri="{FF2B5EF4-FFF2-40B4-BE49-F238E27FC236}">
                <a16:creationId xmlns:a16="http://schemas.microsoft.com/office/drawing/2014/main" id="{AF90F96A-B2F8-40B7-B114-8B75EF622274}"/>
              </a:ext>
            </a:extLst>
          </xdr:cNvPr>
          <xdr:cNvSpPr txBox="1"/>
        </xdr:nvSpPr>
        <xdr:spPr>
          <a:xfrm>
            <a:off x="21496556" y="7605984"/>
            <a:ext cx="456935" cy="3017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4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35°</a:t>
            </a:r>
            <a:endParaRPr lang="de-DE" sz="1100">
              <a:solidFill>
                <a:schemeClr val="accent4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3" name="Textfeld 24">
            <a:extLst>
              <a:ext uri="{FF2B5EF4-FFF2-40B4-BE49-F238E27FC236}">
                <a16:creationId xmlns:a16="http://schemas.microsoft.com/office/drawing/2014/main" id="{7D677C79-4818-4CF1-9F2E-27329B5157B2}"/>
              </a:ext>
            </a:extLst>
          </xdr:cNvPr>
          <xdr:cNvSpPr txBox="1"/>
        </xdr:nvSpPr>
        <xdr:spPr>
          <a:xfrm>
            <a:off x="20613503" y="4006488"/>
            <a:ext cx="456935" cy="3017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4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25°</a:t>
            </a:r>
            <a:endParaRPr lang="de-DE" sz="1100">
              <a:solidFill>
                <a:schemeClr val="accent4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4" name="Textfeld 24">
            <a:extLst>
              <a:ext uri="{FF2B5EF4-FFF2-40B4-BE49-F238E27FC236}">
                <a16:creationId xmlns:a16="http://schemas.microsoft.com/office/drawing/2014/main" id="{6E9D19E3-52DA-46E8-8927-E73246454FD6}"/>
              </a:ext>
            </a:extLst>
          </xdr:cNvPr>
          <xdr:cNvSpPr txBox="1"/>
        </xdr:nvSpPr>
        <xdr:spPr>
          <a:xfrm>
            <a:off x="20507995" y="2619342"/>
            <a:ext cx="456935" cy="3017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4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20°</a:t>
            </a:r>
            <a:endParaRPr lang="de-DE" sz="1100">
              <a:solidFill>
                <a:schemeClr val="accent4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5" name="Textfeld 24">
            <a:extLst>
              <a:ext uri="{FF2B5EF4-FFF2-40B4-BE49-F238E27FC236}">
                <a16:creationId xmlns:a16="http://schemas.microsoft.com/office/drawing/2014/main" id="{E94E68E2-3445-4852-AD80-62C5D02A0843}"/>
              </a:ext>
            </a:extLst>
          </xdr:cNvPr>
          <xdr:cNvSpPr txBox="1"/>
        </xdr:nvSpPr>
        <xdr:spPr>
          <a:xfrm>
            <a:off x="20484549" y="1461816"/>
            <a:ext cx="456935" cy="3017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4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15°</a:t>
            </a:r>
            <a:endParaRPr lang="de-DE" sz="1100">
              <a:solidFill>
                <a:schemeClr val="accent4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6" name="Textfeld 24">
            <a:extLst>
              <a:ext uri="{FF2B5EF4-FFF2-40B4-BE49-F238E27FC236}">
                <a16:creationId xmlns:a16="http://schemas.microsoft.com/office/drawing/2014/main" id="{0EE538D8-6793-4350-A1CD-E864D2A177D6}"/>
              </a:ext>
            </a:extLst>
          </xdr:cNvPr>
          <xdr:cNvSpPr txBox="1"/>
        </xdr:nvSpPr>
        <xdr:spPr>
          <a:xfrm>
            <a:off x="20490411" y="748747"/>
            <a:ext cx="456935" cy="3012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4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10°</a:t>
            </a:r>
            <a:endParaRPr lang="de-DE" sz="1100">
              <a:solidFill>
                <a:schemeClr val="accent4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7" name="Textfeld 24">
            <a:extLst>
              <a:ext uri="{FF2B5EF4-FFF2-40B4-BE49-F238E27FC236}">
                <a16:creationId xmlns:a16="http://schemas.microsoft.com/office/drawing/2014/main" id="{8DF3F2C6-83CF-4EB1-AFC6-C32695032CE7}"/>
              </a:ext>
            </a:extLst>
          </xdr:cNvPr>
          <xdr:cNvSpPr txBox="1"/>
        </xdr:nvSpPr>
        <xdr:spPr>
          <a:xfrm>
            <a:off x="20490411" y="351183"/>
            <a:ext cx="456935" cy="3012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4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5°</a:t>
            </a:r>
            <a:endParaRPr lang="de-DE" sz="1100">
              <a:solidFill>
                <a:schemeClr val="accent4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9" name="Textfeld 24">
            <a:extLst>
              <a:ext uri="{FF2B5EF4-FFF2-40B4-BE49-F238E27FC236}">
                <a16:creationId xmlns:a16="http://schemas.microsoft.com/office/drawing/2014/main" id="{306BB4A8-4B73-20DA-B412-7D315F065AE3}"/>
              </a:ext>
            </a:extLst>
          </xdr:cNvPr>
          <xdr:cNvSpPr txBox="1"/>
        </xdr:nvSpPr>
        <xdr:spPr>
          <a:xfrm>
            <a:off x="18057003" y="6649717"/>
            <a:ext cx="1713354" cy="3017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i="0" baseline="0">
                <a:solidFill>
                  <a:schemeClr val="accent4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senkrechter Stoß </a:t>
            </a:r>
            <a:r>
              <a:rPr lang="el-GR" sz="1100" i="1" baseline="0">
                <a:solidFill>
                  <a:schemeClr val="accent4">
                    <a:lumMod val="75000"/>
                  </a:schemeClr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rPr>
              <a:t>ϑ</a:t>
            </a:r>
            <a:r>
              <a:rPr lang="de-DE" sz="1100" i="0" baseline="0">
                <a:solidFill>
                  <a:schemeClr val="accent4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= 0°</a:t>
            </a:r>
            <a:endParaRPr lang="de-DE" sz="1100" i="0" baseline="-25000">
              <a:solidFill>
                <a:schemeClr val="accent4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20" name="Freihandform: Form 19">
            <a:extLst>
              <a:ext uri="{FF2B5EF4-FFF2-40B4-BE49-F238E27FC236}">
                <a16:creationId xmlns:a16="http://schemas.microsoft.com/office/drawing/2014/main" id="{D00E9615-25F1-8C4F-5C9B-1B7CCB2BCF96}"/>
              </a:ext>
            </a:extLst>
          </xdr:cNvPr>
          <xdr:cNvSpPr/>
        </xdr:nvSpPr>
        <xdr:spPr>
          <a:xfrm>
            <a:off x="19716978" y="6527261"/>
            <a:ext cx="321013" cy="260391"/>
          </a:xfrm>
          <a:custGeom>
            <a:avLst/>
            <a:gdLst>
              <a:gd name="csX0" fmla="*/ 0 w 321013"/>
              <a:gd name="csY0" fmla="*/ 259404 h 259404"/>
              <a:gd name="csX1" fmla="*/ 175098 w 321013"/>
              <a:gd name="csY1" fmla="*/ 201038 h 259404"/>
              <a:gd name="csX2" fmla="*/ 321013 w 321013"/>
              <a:gd name="csY2" fmla="*/ 0 h 25940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</a:cxnLst>
            <a:rect l="l" t="t" r="r" b="b"/>
            <a:pathLst>
              <a:path w="321013" h="259404">
                <a:moveTo>
                  <a:pt x="0" y="259404"/>
                </a:moveTo>
                <a:cubicBezTo>
                  <a:pt x="60798" y="251838"/>
                  <a:pt x="121596" y="244272"/>
                  <a:pt x="175098" y="201038"/>
                </a:cubicBezTo>
                <a:cubicBezTo>
                  <a:pt x="228600" y="157804"/>
                  <a:pt x="284805" y="64851"/>
                  <a:pt x="321013" y="0"/>
                </a:cubicBezTo>
              </a:path>
            </a:pathLst>
          </a:custGeom>
          <a:noFill/>
          <a:ln w="12700" cap="rnd">
            <a:solidFill>
              <a:schemeClr val="accent4">
                <a:lumMod val="75000"/>
              </a:schemeClr>
            </a:solidFill>
            <a:round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3199</xdr:colOff>
      <xdr:row>1</xdr:row>
      <xdr:rowOff>2450</xdr:rowOff>
    </xdr:from>
    <xdr:to>
      <xdr:col>27</xdr:col>
      <xdr:colOff>279251</xdr:colOff>
      <xdr:row>49</xdr:row>
      <xdr:rowOff>197126</xdr:rowOff>
    </xdr:to>
    <xdr:grpSp>
      <xdr:nvGrpSpPr>
        <xdr:cNvPr id="18" name="Gruppieren 17">
          <a:extLst>
            <a:ext uri="{FF2B5EF4-FFF2-40B4-BE49-F238E27FC236}">
              <a16:creationId xmlns:a16="http://schemas.microsoft.com/office/drawing/2014/main" id="{5D5D9DF6-6F61-03F8-A231-FDA0F9F9B8E6}"/>
            </a:ext>
          </a:extLst>
        </xdr:cNvPr>
        <xdr:cNvGrpSpPr/>
      </xdr:nvGrpSpPr>
      <xdr:grpSpPr>
        <a:xfrm>
          <a:off x="16561459" y="200570"/>
          <a:ext cx="6615892" cy="9704436"/>
          <a:chOff x="16561459" y="200570"/>
          <a:chExt cx="6615892" cy="9704436"/>
        </a:xfrm>
      </xdr:grpSpPr>
      <xdr:graphicFrame macro="">
        <xdr:nvGraphicFramePr>
          <xdr:cNvPr id="3" name="Diagramm 2">
            <a:extLst>
              <a:ext uri="{FF2B5EF4-FFF2-40B4-BE49-F238E27FC236}">
                <a16:creationId xmlns:a16="http://schemas.microsoft.com/office/drawing/2014/main" id="{5567AA6B-F90E-5AC0-A8A5-15EBB7CBE5D8}"/>
              </a:ext>
            </a:extLst>
          </xdr:cNvPr>
          <xdr:cNvGraphicFramePr/>
        </xdr:nvGraphicFramePr>
        <xdr:xfrm>
          <a:off x="16561459" y="200570"/>
          <a:ext cx="6615892" cy="970443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" name="Textfeld 24">
            <a:extLst>
              <a:ext uri="{FF2B5EF4-FFF2-40B4-BE49-F238E27FC236}">
                <a16:creationId xmlns:a16="http://schemas.microsoft.com/office/drawing/2014/main" id="{8A152C67-C597-4E23-9131-A3DDB4E9809F}"/>
              </a:ext>
            </a:extLst>
          </xdr:cNvPr>
          <xdr:cNvSpPr txBox="1"/>
        </xdr:nvSpPr>
        <xdr:spPr>
          <a:xfrm>
            <a:off x="21206460" y="6598920"/>
            <a:ext cx="471001" cy="300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30°</a:t>
            </a:r>
            <a:endParaRPr lang="de-DE" sz="1100">
              <a:solidFill>
                <a:schemeClr val="accent5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4" name="Textfeld 24">
            <a:extLst>
              <a:ext uri="{FF2B5EF4-FFF2-40B4-BE49-F238E27FC236}">
                <a16:creationId xmlns:a16="http://schemas.microsoft.com/office/drawing/2014/main" id="{B9C85307-4539-4398-8316-28B75DFA7952}"/>
              </a:ext>
            </a:extLst>
          </xdr:cNvPr>
          <xdr:cNvSpPr txBox="1"/>
        </xdr:nvSpPr>
        <xdr:spPr>
          <a:xfrm>
            <a:off x="22151340" y="7162800"/>
            <a:ext cx="471001" cy="300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35°</a:t>
            </a:r>
            <a:endParaRPr lang="de-DE" sz="1100">
              <a:solidFill>
                <a:schemeClr val="accent5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5" name="Textfeld 24">
            <a:extLst>
              <a:ext uri="{FF2B5EF4-FFF2-40B4-BE49-F238E27FC236}">
                <a16:creationId xmlns:a16="http://schemas.microsoft.com/office/drawing/2014/main" id="{4A9FE496-50FE-460D-9089-FD29585D31E1}"/>
              </a:ext>
            </a:extLst>
          </xdr:cNvPr>
          <xdr:cNvSpPr txBox="1"/>
        </xdr:nvSpPr>
        <xdr:spPr>
          <a:xfrm>
            <a:off x="20543520" y="6210300"/>
            <a:ext cx="471001" cy="300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25°</a:t>
            </a:r>
            <a:endParaRPr lang="de-DE" sz="1100">
              <a:solidFill>
                <a:schemeClr val="accent5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6" name="Textfeld 24">
            <a:extLst>
              <a:ext uri="{FF2B5EF4-FFF2-40B4-BE49-F238E27FC236}">
                <a16:creationId xmlns:a16="http://schemas.microsoft.com/office/drawing/2014/main" id="{BF74AB73-9BC4-4FA9-90B4-9A419C7E7B9C}"/>
              </a:ext>
            </a:extLst>
          </xdr:cNvPr>
          <xdr:cNvSpPr txBox="1"/>
        </xdr:nvSpPr>
        <xdr:spPr>
          <a:xfrm>
            <a:off x="20025360" y="5958840"/>
            <a:ext cx="471001" cy="300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20°</a:t>
            </a:r>
            <a:endParaRPr lang="de-DE" sz="1100">
              <a:solidFill>
                <a:schemeClr val="accent5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7" name="Textfeld 24">
            <a:extLst>
              <a:ext uri="{FF2B5EF4-FFF2-40B4-BE49-F238E27FC236}">
                <a16:creationId xmlns:a16="http://schemas.microsoft.com/office/drawing/2014/main" id="{2B6111DA-DF22-4C03-B65E-37EA97A033DE}"/>
              </a:ext>
            </a:extLst>
          </xdr:cNvPr>
          <xdr:cNvSpPr txBox="1"/>
        </xdr:nvSpPr>
        <xdr:spPr>
          <a:xfrm>
            <a:off x="19621500" y="5730240"/>
            <a:ext cx="471001" cy="300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15°</a:t>
            </a:r>
            <a:endParaRPr lang="de-DE" sz="1100">
              <a:solidFill>
                <a:schemeClr val="accent5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8" name="Textfeld 24">
            <a:extLst>
              <a:ext uri="{FF2B5EF4-FFF2-40B4-BE49-F238E27FC236}">
                <a16:creationId xmlns:a16="http://schemas.microsoft.com/office/drawing/2014/main" id="{D8893CAA-6DEC-4FA1-B95A-2E3A55DD8A3A}"/>
              </a:ext>
            </a:extLst>
          </xdr:cNvPr>
          <xdr:cNvSpPr txBox="1"/>
        </xdr:nvSpPr>
        <xdr:spPr>
          <a:xfrm>
            <a:off x="19293840" y="5524500"/>
            <a:ext cx="471001" cy="300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10°</a:t>
            </a:r>
            <a:endParaRPr lang="de-DE" sz="1100">
              <a:solidFill>
                <a:schemeClr val="accent5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9" name="Textfeld 24">
            <a:extLst>
              <a:ext uri="{FF2B5EF4-FFF2-40B4-BE49-F238E27FC236}">
                <a16:creationId xmlns:a16="http://schemas.microsoft.com/office/drawing/2014/main" id="{9A4BE7D5-F9F6-44F4-84DF-279BAE1F5903}"/>
              </a:ext>
            </a:extLst>
          </xdr:cNvPr>
          <xdr:cNvSpPr txBox="1"/>
        </xdr:nvSpPr>
        <xdr:spPr>
          <a:xfrm>
            <a:off x="19004280" y="5341620"/>
            <a:ext cx="471001" cy="300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5°</a:t>
            </a:r>
            <a:endParaRPr lang="de-DE" sz="1100">
              <a:solidFill>
                <a:schemeClr val="accent5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0" name="Textfeld 9">
            <a:extLst>
              <a:ext uri="{FF2B5EF4-FFF2-40B4-BE49-F238E27FC236}">
                <a16:creationId xmlns:a16="http://schemas.microsoft.com/office/drawing/2014/main" id="{73D8F29F-DD29-4E4F-990A-C96068602CB1}"/>
              </a:ext>
            </a:extLst>
          </xdr:cNvPr>
          <xdr:cNvSpPr txBox="1"/>
        </xdr:nvSpPr>
        <xdr:spPr>
          <a:xfrm rot="18477054">
            <a:off x="17952720" y="5158740"/>
            <a:ext cx="1921549" cy="3018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Ablenkungswinkel</a:t>
            </a:r>
            <a:r>
              <a:rPr lang="de-DE" sz="1100" baseline="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el-GR" sz="1100" i="1" baseline="0">
                <a:solidFill>
                  <a:schemeClr val="accent5">
                    <a:lumMod val="75000"/>
                  </a:schemeClr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rPr>
              <a:t>ϑ</a:t>
            </a:r>
            <a:r>
              <a:rPr lang="de-DE" sz="1100" baseline="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= 0°</a:t>
            </a:r>
            <a:endParaRPr lang="de-DE" sz="1100">
              <a:solidFill>
                <a:schemeClr val="accent5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1" name="Textfeld 24">
            <a:extLst>
              <a:ext uri="{FF2B5EF4-FFF2-40B4-BE49-F238E27FC236}">
                <a16:creationId xmlns:a16="http://schemas.microsoft.com/office/drawing/2014/main" id="{21577BAC-D805-4593-B7C0-2A34A8E6A120}"/>
              </a:ext>
            </a:extLst>
          </xdr:cNvPr>
          <xdr:cNvSpPr txBox="1"/>
        </xdr:nvSpPr>
        <xdr:spPr>
          <a:xfrm>
            <a:off x="18685329" y="3635614"/>
            <a:ext cx="1766096" cy="2999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i="0" baseline="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Mach-Welle</a:t>
            </a:r>
          </a:p>
        </xdr:txBody>
      </xdr:sp>
      <xdr:sp macro="" textlink="">
        <xdr:nvSpPr>
          <xdr:cNvPr id="12" name="Freihandform: Form 11">
            <a:extLst>
              <a:ext uri="{FF2B5EF4-FFF2-40B4-BE49-F238E27FC236}">
                <a16:creationId xmlns:a16="http://schemas.microsoft.com/office/drawing/2014/main" id="{C1334FAA-6303-461F-906B-60B0B4190005}"/>
              </a:ext>
            </a:extLst>
          </xdr:cNvPr>
          <xdr:cNvSpPr/>
        </xdr:nvSpPr>
        <xdr:spPr>
          <a:xfrm rot="14170998">
            <a:off x="20006003" y="3794574"/>
            <a:ext cx="205252" cy="95571"/>
          </a:xfrm>
          <a:custGeom>
            <a:avLst/>
            <a:gdLst>
              <a:gd name="csX0" fmla="*/ 0 w 321013"/>
              <a:gd name="csY0" fmla="*/ 259404 h 259404"/>
              <a:gd name="csX1" fmla="*/ 175098 w 321013"/>
              <a:gd name="csY1" fmla="*/ 201038 h 259404"/>
              <a:gd name="csX2" fmla="*/ 321013 w 321013"/>
              <a:gd name="csY2" fmla="*/ 0 h 25940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</a:cxnLst>
            <a:rect l="l" t="t" r="r" b="b"/>
            <a:pathLst>
              <a:path w="321013" h="259404">
                <a:moveTo>
                  <a:pt x="0" y="259404"/>
                </a:moveTo>
                <a:cubicBezTo>
                  <a:pt x="60798" y="251838"/>
                  <a:pt x="121596" y="244272"/>
                  <a:pt x="175098" y="201038"/>
                </a:cubicBezTo>
                <a:cubicBezTo>
                  <a:pt x="228600" y="157804"/>
                  <a:pt x="284805" y="64851"/>
                  <a:pt x="321013" y="0"/>
                </a:cubicBezTo>
              </a:path>
            </a:pathLst>
          </a:custGeom>
          <a:noFill/>
          <a:ln w="12700" cap="rnd">
            <a:solidFill>
              <a:schemeClr val="accent5">
                <a:lumMod val="75000"/>
              </a:schemeClr>
            </a:solidFill>
            <a:round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4" name="Textfeld 24">
            <a:extLst>
              <a:ext uri="{FF2B5EF4-FFF2-40B4-BE49-F238E27FC236}">
                <a16:creationId xmlns:a16="http://schemas.microsoft.com/office/drawing/2014/main" id="{7BB71C8C-24A1-2588-FC0A-99B898BB14EF}"/>
              </a:ext>
            </a:extLst>
          </xdr:cNvPr>
          <xdr:cNvSpPr txBox="1"/>
        </xdr:nvSpPr>
        <xdr:spPr>
          <a:xfrm>
            <a:off x="17193986" y="2133600"/>
            <a:ext cx="1756074" cy="2979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l-GR" sz="1100" i="1" baseline="0">
                <a:solidFill>
                  <a:schemeClr val="accent5">
                    <a:lumMod val="75000"/>
                  </a:schemeClr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rPr>
              <a:t>ϑ</a:t>
            </a:r>
            <a:r>
              <a:rPr lang="de-DE" sz="1100" i="0" baseline="-2500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max</a:t>
            </a:r>
            <a:r>
              <a:rPr lang="de-DE" sz="1100" i="0" baseline="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liegt bei Ma</a:t>
            </a:r>
            <a:r>
              <a:rPr lang="de-DE" sz="1100" i="0" baseline="-2500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1,min</a:t>
            </a:r>
          </a:p>
        </xdr:txBody>
      </xdr:sp>
      <xdr:sp macro="" textlink="">
        <xdr:nvSpPr>
          <xdr:cNvPr id="15" name="Textfeld 24">
            <a:extLst>
              <a:ext uri="{FF2B5EF4-FFF2-40B4-BE49-F238E27FC236}">
                <a16:creationId xmlns:a16="http://schemas.microsoft.com/office/drawing/2014/main" id="{8F3EEC24-2524-4DF4-B1AD-F79515C600D5}"/>
              </a:ext>
            </a:extLst>
          </xdr:cNvPr>
          <xdr:cNvSpPr txBox="1"/>
        </xdr:nvSpPr>
        <xdr:spPr>
          <a:xfrm>
            <a:off x="16880477" y="8725990"/>
            <a:ext cx="1766096" cy="2999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i="0" baseline="0">
                <a:solidFill>
                  <a:schemeClr val="accent5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Senkr. Stoß</a:t>
            </a:r>
          </a:p>
        </xdr:txBody>
      </xdr:sp>
      <xdr:sp macro="" textlink="">
        <xdr:nvSpPr>
          <xdr:cNvPr id="16" name="Freihandform: Form 15">
            <a:extLst>
              <a:ext uri="{FF2B5EF4-FFF2-40B4-BE49-F238E27FC236}">
                <a16:creationId xmlns:a16="http://schemas.microsoft.com/office/drawing/2014/main" id="{0273930C-81D6-43A2-810E-78D569EE9C37}"/>
              </a:ext>
            </a:extLst>
          </xdr:cNvPr>
          <xdr:cNvSpPr/>
        </xdr:nvSpPr>
        <xdr:spPr>
          <a:xfrm rot="21311027">
            <a:off x="18169581" y="8772827"/>
            <a:ext cx="207429" cy="95571"/>
          </a:xfrm>
          <a:custGeom>
            <a:avLst/>
            <a:gdLst>
              <a:gd name="csX0" fmla="*/ 0 w 321013"/>
              <a:gd name="csY0" fmla="*/ 259404 h 259404"/>
              <a:gd name="csX1" fmla="*/ 175098 w 321013"/>
              <a:gd name="csY1" fmla="*/ 201038 h 259404"/>
              <a:gd name="csX2" fmla="*/ 321013 w 321013"/>
              <a:gd name="csY2" fmla="*/ 0 h 25940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</a:cxnLst>
            <a:rect l="l" t="t" r="r" b="b"/>
            <a:pathLst>
              <a:path w="321013" h="259404">
                <a:moveTo>
                  <a:pt x="0" y="259404"/>
                </a:moveTo>
                <a:cubicBezTo>
                  <a:pt x="60798" y="251838"/>
                  <a:pt x="121596" y="244272"/>
                  <a:pt x="175098" y="201038"/>
                </a:cubicBezTo>
                <a:cubicBezTo>
                  <a:pt x="228600" y="157804"/>
                  <a:pt x="284805" y="64851"/>
                  <a:pt x="321013" y="0"/>
                </a:cubicBezTo>
              </a:path>
            </a:pathLst>
          </a:custGeom>
          <a:noFill/>
          <a:ln w="12700" cap="rnd">
            <a:solidFill>
              <a:schemeClr val="accent5">
                <a:lumMod val="75000"/>
              </a:schemeClr>
            </a:solidFill>
            <a:round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929499</xdr:colOff>
      <xdr:row>0</xdr:row>
      <xdr:rowOff>195673</xdr:rowOff>
    </xdr:from>
    <xdr:to>
      <xdr:col>26</xdr:col>
      <xdr:colOff>457200</xdr:colOff>
      <xdr:row>49</xdr:row>
      <xdr:rowOff>193964</xdr:rowOff>
    </xdr:to>
    <xdr:grpSp>
      <xdr:nvGrpSpPr>
        <xdr:cNvPr id="16" name="Gruppieren 15">
          <a:extLst>
            <a:ext uri="{FF2B5EF4-FFF2-40B4-BE49-F238E27FC236}">
              <a16:creationId xmlns:a16="http://schemas.microsoft.com/office/drawing/2014/main" id="{04AFD64D-15F1-8E3B-4659-A79E97B7E614}"/>
            </a:ext>
          </a:extLst>
        </xdr:cNvPr>
        <xdr:cNvGrpSpPr/>
      </xdr:nvGrpSpPr>
      <xdr:grpSpPr>
        <a:xfrm>
          <a:off x="15362675" y="195673"/>
          <a:ext cx="6968407" cy="9698103"/>
          <a:chOff x="15427377" y="195673"/>
          <a:chExt cx="7028432" cy="9765143"/>
        </a:xfrm>
      </xdr:grpSpPr>
      <xdr:graphicFrame macro="">
        <xdr:nvGraphicFramePr>
          <xdr:cNvPr id="3" name="Diagramm 2">
            <a:extLst>
              <a:ext uri="{FF2B5EF4-FFF2-40B4-BE49-F238E27FC236}">
                <a16:creationId xmlns:a16="http://schemas.microsoft.com/office/drawing/2014/main" id="{C2B97A06-423E-0A2B-882F-8CE885AE16DF}"/>
              </a:ext>
            </a:extLst>
          </xdr:cNvPr>
          <xdr:cNvGraphicFramePr/>
        </xdr:nvGraphicFramePr>
        <xdr:xfrm>
          <a:off x="15638622" y="195673"/>
          <a:ext cx="6817187" cy="976514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9" name="Gruppieren 18">
            <a:extLst>
              <a:ext uri="{FF2B5EF4-FFF2-40B4-BE49-F238E27FC236}">
                <a16:creationId xmlns:a16="http://schemas.microsoft.com/office/drawing/2014/main" id="{639DD481-D25C-BFD4-C20B-DA8E63354003}"/>
              </a:ext>
            </a:extLst>
          </xdr:cNvPr>
          <xdr:cNvGrpSpPr/>
        </xdr:nvGrpSpPr>
        <xdr:grpSpPr>
          <a:xfrm rot="16200000">
            <a:off x="15429363" y="4689835"/>
            <a:ext cx="781840" cy="785812"/>
            <a:chOff x="26539037" y="2926745"/>
            <a:chExt cx="781839" cy="785812"/>
          </a:xfrm>
        </xdr:grpSpPr>
        <xdr:sp macro="" textlink="">
          <xdr:nvSpPr>
            <xdr:cNvPr id="11" name="Textfeld 10">
              <a:extLst>
                <a:ext uri="{FF2B5EF4-FFF2-40B4-BE49-F238E27FC236}">
                  <a16:creationId xmlns:a16="http://schemas.microsoft.com/office/drawing/2014/main" id="{9BFD40B1-5FB7-03EA-6F70-BC9BFF0988A0}"/>
                </a:ext>
              </a:extLst>
            </xdr:cNvPr>
            <xdr:cNvSpPr txBox="1"/>
          </xdr:nvSpPr>
          <xdr:spPr>
            <a:xfrm>
              <a:off x="26539037" y="2935357"/>
              <a:ext cx="777201" cy="777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240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(</a:t>
              </a:r>
              <a:r>
                <a:rPr lang="de-DE" sz="2400" baseline="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 </a:t>
              </a:r>
              <a:r>
                <a:rPr lang="de-DE" sz="240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 )</a:t>
              </a:r>
            </a:p>
          </xdr:txBody>
        </xdr:sp>
        <xdr:sp macro="" textlink="">
          <xdr:nvSpPr>
            <xdr:cNvPr id="12" name="Textfeld 11">
              <a:extLst>
                <a:ext uri="{FF2B5EF4-FFF2-40B4-BE49-F238E27FC236}">
                  <a16:creationId xmlns:a16="http://schemas.microsoft.com/office/drawing/2014/main" id="{43715BB4-DC0C-4919-A4E2-E877F8A07887}"/>
                </a:ext>
              </a:extLst>
            </xdr:cNvPr>
            <xdr:cNvSpPr txBox="1"/>
          </xdr:nvSpPr>
          <xdr:spPr>
            <a:xfrm>
              <a:off x="26543675" y="2926745"/>
              <a:ext cx="777201" cy="777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100" i="1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p</a:t>
              </a:r>
              <a:r>
                <a:rPr lang="de-DE" sz="1100" baseline="-2500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2</a:t>
              </a:r>
            </a:p>
            <a:p>
              <a:pPr algn="ctr"/>
              <a:r>
                <a:rPr lang="de-DE" sz="1100" i="1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p</a:t>
              </a:r>
              <a:r>
                <a:rPr lang="de-DE" sz="1100" baseline="-2500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1</a:t>
              </a:r>
              <a:endParaRPr lang="de-DE" sz="500" baseline="-25000"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endParaRPr>
            </a:p>
          </xdr:txBody>
        </xdr:sp>
        <xdr:cxnSp macro="">
          <xdr:nvCxnSpPr>
            <xdr:cNvPr id="17" name="Gerader Verbinder 16">
              <a:extLst>
                <a:ext uri="{FF2B5EF4-FFF2-40B4-BE49-F238E27FC236}">
                  <a16:creationId xmlns:a16="http://schemas.microsoft.com/office/drawing/2014/main" id="{7A904043-0EC1-6DC2-0212-35B129FE4EBC}"/>
                </a:ext>
              </a:extLst>
            </xdr:cNvPr>
            <xdr:cNvCxnSpPr/>
          </xdr:nvCxnSpPr>
          <xdr:spPr>
            <a:xfrm>
              <a:off x="26841162" y="3344484"/>
              <a:ext cx="180778" cy="0"/>
            </a:xfrm>
            <a:prstGeom prst="line">
              <a:avLst/>
            </a:prstGeom>
            <a:ln w="9525"/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Textfeld 24">
            <a:extLst>
              <a:ext uri="{FF2B5EF4-FFF2-40B4-BE49-F238E27FC236}">
                <a16:creationId xmlns:a16="http://schemas.microsoft.com/office/drawing/2014/main" id="{6BEB9310-EF3D-4A63-A808-642B648D6243}"/>
              </a:ext>
            </a:extLst>
          </xdr:cNvPr>
          <xdr:cNvSpPr txBox="1"/>
        </xdr:nvSpPr>
        <xdr:spPr>
          <a:xfrm rot="18085842">
            <a:off x="18100813" y="2605377"/>
            <a:ext cx="1768084" cy="2999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i="0" baseline="0">
                <a:solidFill>
                  <a:schemeClr val="accent2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Senkrechter Stoß, </a:t>
            </a:r>
            <a:r>
              <a:rPr lang="el-GR" sz="1100" i="1" baseline="0">
                <a:solidFill>
                  <a:schemeClr val="accent2">
                    <a:lumMod val="75000"/>
                  </a:schemeClr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rPr>
              <a:t>ϑ</a:t>
            </a:r>
            <a:r>
              <a:rPr lang="de-DE" sz="1100" i="0" baseline="0">
                <a:solidFill>
                  <a:schemeClr val="accent2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= 0°</a:t>
            </a:r>
            <a:endParaRPr lang="de-DE" sz="1100" i="0" baseline="-25000">
              <a:solidFill>
                <a:schemeClr val="accent2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5" name="Textfeld 4">
            <a:extLst>
              <a:ext uri="{FF2B5EF4-FFF2-40B4-BE49-F238E27FC236}">
                <a16:creationId xmlns:a16="http://schemas.microsoft.com/office/drawing/2014/main" id="{E0466A4A-E5FC-4621-9AF6-D9AFAB5305F2}"/>
              </a:ext>
            </a:extLst>
          </xdr:cNvPr>
          <xdr:cNvSpPr txBox="1"/>
        </xdr:nvSpPr>
        <xdr:spPr>
          <a:xfrm>
            <a:off x="17545757" y="9072891"/>
            <a:ext cx="1926850" cy="3032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2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Machwelle,</a:t>
            </a:r>
            <a:r>
              <a:rPr lang="de-DE" sz="1100" baseline="0">
                <a:solidFill>
                  <a:schemeClr val="accent2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el-GR" sz="1100" i="1" baseline="0">
                <a:solidFill>
                  <a:schemeClr val="accent2">
                    <a:lumMod val="75000"/>
                  </a:schemeClr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rPr>
              <a:t>ϑ</a:t>
            </a:r>
            <a:r>
              <a:rPr lang="de-DE" sz="1100" baseline="0">
                <a:solidFill>
                  <a:schemeClr val="accent2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= 0°</a:t>
            </a:r>
            <a:endParaRPr lang="de-DE" sz="1100">
              <a:solidFill>
                <a:schemeClr val="accent2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6" name="Textfeld 24">
            <a:extLst>
              <a:ext uri="{FF2B5EF4-FFF2-40B4-BE49-F238E27FC236}">
                <a16:creationId xmlns:a16="http://schemas.microsoft.com/office/drawing/2014/main" id="{FBEF1378-D2BF-4AB5-A459-9C702D3D0D68}"/>
              </a:ext>
            </a:extLst>
          </xdr:cNvPr>
          <xdr:cNvSpPr txBox="1"/>
        </xdr:nvSpPr>
        <xdr:spPr>
          <a:xfrm>
            <a:off x="19697037" y="8130209"/>
            <a:ext cx="471001" cy="3015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2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5°</a:t>
            </a:r>
            <a:endParaRPr lang="de-DE" sz="1100">
              <a:solidFill>
                <a:schemeClr val="accent2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7" name="Textfeld 24">
            <a:extLst>
              <a:ext uri="{FF2B5EF4-FFF2-40B4-BE49-F238E27FC236}">
                <a16:creationId xmlns:a16="http://schemas.microsoft.com/office/drawing/2014/main" id="{D2F93B75-6227-43B5-A0BA-B729866C47E0}"/>
              </a:ext>
            </a:extLst>
          </xdr:cNvPr>
          <xdr:cNvSpPr txBox="1"/>
        </xdr:nvSpPr>
        <xdr:spPr>
          <a:xfrm>
            <a:off x="19765617" y="6914653"/>
            <a:ext cx="471001" cy="3015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2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10°</a:t>
            </a:r>
            <a:endParaRPr lang="de-DE" sz="1100">
              <a:solidFill>
                <a:schemeClr val="accent2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8" name="Textfeld 24">
            <a:extLst>
              <a:ext uri="{FF2B5EF4-FFF2-40B4-BE49-F238E27FC236}">
                <a16:creationId xmlns:a16="http://schemas.microsoft.com/office/drawing/2014/main" id="{1D5ABFDA-9F9C-424A-A894-BA99306C5627}"/>
              </a:ext>
            </a:extLst>
          </xdr:cNvPr>
          <xdr:cNvSpPr txBox="1"/>
        </xdr:nvSpPr>
        <xdr:spPr>
          <a:xfrm>
            <a:off x="19849437" y="5775297"/>
            <a:ext cx="471001" cy="30150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2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15°</a:t>
            </a:r>
            <a:endParaRPr lang="de-DE" sz="1100">
              <a:solidFill>
                <a:schemeClr val="accent2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9" name="Textfeld 24">
            <a:extLst>
              <a:ext uri="{FF2B5EF4-FFF2-40B4-BE49-F238E27FC236}">
                <a16:creationId xmlns:a16="http://schemas.microsoft.com/office/drawing/2014/main" id="{485E3C56-641B-4A1B-9E0C-C403CD298C21}"/>
              </a:ext>
            </a:extLst>
          </xdr:cNvPr>
          <xdr:cNvSpPr txBox="1"/>
        </xdr:nvSpPr>
        <xdr:spPr>
          <a:xfrm>
            <a:off x="19978977" y="4682324"/>
            <a:ext cx="473652" cy="3008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2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20°</a:t>
            </a:r>
            <a:endParaRPr lang="de-DE" sz="1100">
              <a:solidFill>
                <a:schemeClr val="accent2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3" name="Textfeld 24">
            <a:extLst>
              <a:ext uri="{FF2B5EF4-FFF2-40B4-BE49-F238E27FC236}">
                <a16:creationId xmlns:a16="http://schemas.microsoft.com/office/drawing/2014/main" id="{0F8FB2ED-0F2B-4B63-A30A-023DDF464B94}"/>
              </a:ext>
            </a:extLst>
          </xdr:cNvPr>
          <xdr:cNvSpPr txBox="1"/>
        </xdr:nvSpPr>
        <xdr:spPr>
          <a:xfrm>
            <a:off x="20108517" y="3574443"/>
            <a:ext cx="473652" cy="3005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2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25°</a:t>
            </a:r>
            <a:endParaRPr lang="de-DE" sz="1100">
              <a:solidFill>
                <a:schemeClr val="accent2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4" name="Textfeld 24">
            <a:extLst>
              <a:ext uri="{FF2B5EF4-FFF2-40B4-BE49-F238E27FC236}">
                <a16:creationId xmlns:a16="http://schemas.microsoft.com/office/drawing/2014/main" id="{625E4055-6F44-416E-ACF9-0A7255158432}"/>
              </a:ext>
            </a:extLst>
          </xdr:cNvPr>
          <xdr:cNvSpPr txBox="1"/>
        </xdr:nvSpPr>
        <xdr:spPr>
          <a:xfrm>
            <a:off x="20367597" y="2437737"/>
            <a:ext cx="473652" cy="3008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2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30°</a:t>
            </a:r>
            <a:endParaRPr lang="de-DE" sz="1100">
              <a:solidFill>
                <a:schemeClr val="accent2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5" name="Textfeld 24">
            <a:extLst>
              <a:ext uri="{FF2B5EF4-FFF2-40B4-BE49-F238E27FC236}">
                <a16:creationId xmlns:a16="http://schemas.microsoft.com/office/drawing/2014/main" id="{95C244BA-7335-460F-8E70-8B54DEDA54E4}"/>
              </a:ext>
            </a:extLst>
          </xdr:cNvPr>
          <xdr:cNvSpPr txBox="1"/>
        </xdr:nvSpPr>
        <xdr:spPr>
          <a:xfrm>
            <a:off x="21440715" y="653630"/>
            <a:ext cx="468045" cy="3027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2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35°</a:t>
            </a:r>
            <a:endParaRPr lang="de-DE" sz="1100">
              <a:solidFill>
                <a:schemeClr val="accent2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</xdr:grp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0.00654</cdr:x>
      <cdr:y>0.40248</cdr:y>
    </cdr:from>
    <cdr:to>
      <cdr:x>0.0532</cdr:x>
      <cdr:y>0.59632</cdr:y>
    </cdr:to>
    <cdr:sp macro="" textlink="">
      <cdr:nvSpPr>
        <cdr:cNvPr id="6" name="Textfeld 1">
          <a:extLst xmlns:a="http://schemas.openxmlformats.org/drawingml/2006/main">
            <a:ext uri="{FF2B5EF4-FFF2-40B4-BE49-F238E27FC236}">
              <a16:creationId xmlns:a16="http://schemas.microsoft.com/office/drawing/2014/main" id="{4B436804-7C9B-4733-A9ED-D7D3FDFD3EBE}"/>
            </a:ext>
          </a:extLst>
        </cdr:cNvPr>
        <cdr:cNvSpPr txBox="1"/>
      </cdr:nvSpPr>
      <cdr:spPr>
        <a:xfrm xmlns:a="http://schemas.openxmlformats.org/drawingml/2006/main" rot="16200000">
          <a:off x="-743578" y="4693280"/>
          <a:ext cx="1881439" cy="3079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de-DE" sz="11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log</a:t>
          </a:r>
          <a:r>
            <a:rPr lang="de-DE" sz="1100" baseline="-250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10</a:t>
          </a:r>
          <a:r>
            <a:rPr lang="de-DE" sz="11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            </a:t>
          </a:r>
          <a:r>
            <a:rPr lang="el-GR" sz="11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[</a:t>
          </a:r>
          <a:r>
            <a:rPr lang="el-GR" sz="5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 </a:t>
          </a:r>
          <a:r>
            <a:rPr lang="de-DE" sz="11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-</a:t>
          </a:r>
          <a:r>
            <a:rPr lang="el-GR" sz="5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 </a:t>
          </a:r>
          <a:r>
            <a:rPr lang="el-GR" sz="1100">
              <a:solidFill>
                <a:sysClr val="windowText" lastClr="00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]</a:t>
          </a:r>
        </a:p>
      </cdr:txBody>
    </cdr:sp>
  </cdr:relSizeAnchor>
</c:userShape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E214E-2E36-4A17-9BE2-2D8A49B6815B}">
  <dimension ref="B2:G34"/>
  <sheetViews>
    <sheetView zoomScale="115" zoomScaleNormal="115" workbookViewId="0">
      <selection activeCell="P2" sqref="P2"/>
    </sheetView>
  </sheetViews>
  <sheetFormatPr baseColWidth="10" defaultColWidth="11.5546875" defaultRowHeight="15.6" x14ac:dyDescent="0.4"/>
  <cols>
    <col min="1" max="1" width="2.6640625" style="12" customWidth="1"/>
    <col min="2" max="2" width="8.88671875" style="12" customWidth="1"/>
    <col min="3" max="7" width="15.88671875" style="12" customWidth="1"/>
    <col min="8" max="8" width="2.6640625" style="12" customWidth="1"/>
    <col min="9" max="16384" width="11.5546875" style="12"/>
  </cols>
  <sheetData>
    <row r="2" spans="2:7" x14ac:dyDescent="0.4">
      <c r="B2" s="31" t="s">
        <v>2</v>
      </c>
      <c r="C2" s="31" t="s">
        <v>11</v>
      </c>
      <c r="D2" s="31"/>
      <c r="E2" s="31"/>
      <c r="F2" s="31"/>
      <c r="G2" s="31"/>
    </row>
    <row r="3" spans="2:7" x14ac:dyDescent="0.4">
      <c r="B3" s="31"/>
      <c r="C3" s="6" t="s">
        <v>6</v>
      </c>
      <c r="D3" s="6" t="s">
        <v>7</v>
      </c>
      <c r="E3" s="6" t="s">
        <v>8</v>
      </c>
      <c r="F3" s="6" t="s">
        <v>10</v>
      </c>
      <c r="G3" s="6" t="s">
        <v>9</v>
      </c>
    </row>
    <row r="4" spans="2:7" x14ac:dyDescent="0.4">
      <c r="B4" s="9">
        <v>0</v>
      </c>
      <c r="C4" s="5"/>
      <c r="D4" s="5">
        <f>(1+((1.4-1)/(2))*$B4^2)^(-1)</f>
        <v>1</v>
      </c>
      <c r="E4" s="5">
        <v>0</v>
      </c>
      <c r="F4" s="5">
        <f>$D4^((1.4)/(1.4-1))</f>
        <v>1</v>
      </c>
      <c r="G4" s="5">
        <f>$D4^((1)/(1.4-1))</f>
        <v>1</v>
      </c>
    </row>
    <row r="5" spans="2:7" x14ac:dyDescent="0.4">
      <c r="B5" s="9">
        <v>0.1</v>
      </c>
      <c r="C5" s="5">
        <f t="shared" ref="C5:C34" si="0">((1)/($B5))*(((2)/(1.4+1))*(1+((1.4-1)/(2))*$B5^2))^((1.4+1)/(2*(1.4-1)))</f>
        <v>5.8218287500000008</v>
      </c>
      <c r="D5" s="5">
        <f t="shared" ref="D5:D34" si="1">(1+((1.4-1)/(2))*$B5^2)^(-1)</f>
        <v>0.99800399201596801</v>
      </c>
      <c r="E5" s="5">
        <f t="shared" ref="E5:E34" si="2">SQRT((1.4+1)/(((2)/($B5^2))+1.4-1))</f>
        <v>0.10943513103291656</v>
      </c>
      <c r="F5" s="5">
        <f t="shared" ref="F5:F34" si="3">$D5^((1.4)/(1.4-1))</f>
        <v>0.99303138487425191</v>
      </c>
      <c r="G5" s="5">
        <f t="shared" ref="G5:G34" si="4">$D5^((1)/(1.4-1))</f>
        <v>0.99501744764400046</v>
      </c>
    </row>
    <row r="6" spans="2:7" x14ac:dyDescent="0.4">
      <c r="B6" s="9">
        <v>0.2</v>
      </c>
      <c r="C6" s="5">
        <f t="shared" si="0"/>
        <v>2.9635200000000008</v>
      </c>
      <c r="D6" s="5">
        <f t="shared" si="1"/>
        <v>0.99206349206349209</v>
      </c>
      <c r="E6" s="5">
        <f t="shared" si="2"/>
        <v>0.21821789023599239</v>
      </c>
      <c r="F6" s="5">
        <f t="shared" si="3"/>
        <v>0.97249670295577673</v>
      </c>
      <c r="G6" s="5">
        <f t="shared" si="4"/>
        <v>0.98027667657942297</v>
      </c>
    </row>
    <row r="7" spans="2:7" x14ac:dyDescent="0.4">
      <c r="B7" s="9">
        <v>0.3</v>
      </c>
      <c r="C7" s="5">
        <f t="shared" si="0"/>
        <v>2.0350652623456793</v>
      </c>
      <c r="D7" s="5">
        <f t="shared" si="1"/>
        <v>0.98231827111984282</v>
      </c>
      <c r="E7" s="5">
        <f t="shared" si="2"/>
        <v>0.32571517201527939</v>
      </c>
      <c r="F7" s="5">
        <f t="shared" si="3"/>
        <v>0.93946969849401596</v>
      </c>
      <c r="G7" s="5">
        <f t="shared" si="4"/>
        <v>0.95638015306690827</v>
      </c>
    </row>
    <row r="8" spans="2:7" x14ac:dyDescent="0.4">
      <c r="B8" s="9">
        <v>0.4</v>
      </c>
      <c r="C8" s="5">
        <f t="shared" si="0"/>
        <v>1.5901400000000003</v>
      </c>
      <c r="D8" s="5">
        <f t="shared" si="1"/>
        <v>0.96899224806201545</v>
      </c>
      <c r="E8" s="5">
        <f t="shared" si="2"/>
        <v>0.4313310928137537</v>
      </c>
      <c r="F8" s="5">
        <f t="shared" si="3"/>
        <v>0.89561438304823826</v>
      </c>
      <c r="G8" s="5">
        <f t="shared" si="4"/>
        <v>0.92427404330578189</v>
      </c>
    </row>
    <row r="9" spans="2:7" x14ac:dyDescent="0.4">
      <c r="B9" s="9">
        <v>0.5</v>
      </c>
      <c r="C9" s="5">
        <f t="shared" si="0"/>
        <v>1.3398437500000004</v>
      </c>
      <c r="D9" s="5">
        <f t="shared" si="1"/>
        <v>0.95238095238095233</v>
      </c>
      <c r="E9" s="5">
        <f t="shared" si="2"/>
        <v>0.53452248382484879</v>
      </c>
      <c r="F9" s="5">
        <f t="shared" si="3"/>
        <v>0.843019175422553</v>
      </c>
      <c r="G9" s="5">
        <f t="shared" si="4"/>
        <v>0.88517013419368074</v>
      </c>
    </row>
    <row r="10" spans="2:7" x14ac:dyDescent="0.4">
      <c r="B10" s="9">
        <v>0.6</v>
      </c>
      <c r="C10" s="5">
        <f t="shared" si="0"/>
        <v>1.1881995061728399</v>
      </c>
      <c r="D10" s="5">
        <f t="shared" si="1"/>
        <v>0.93283582089552231</v>
      </c>
      <c r="E10" s="5">
        <f t="shared" si="2"/>
        <v>0.63481105427273843</v>
      </c>
      <c r="F10" s="5">
        <f t="shared" si="3"/>
        <v>0.78400395086944386</v>
      </c>
      <c r="G10" s="5">
        <f t="shared" si="4"/>
        <v>0.84045223533204383</v>
      </c>
    </row>
    <row r="11" spans="2:7" x14ac:dyDescent="0.4">
      <c r="B11" s="9">
        <v>0.7</v>
      </c>
      <c r="C11" s="5">
        <f t="shared" si="0"/>
        <v>1.0943726785714283</v>
      </c>
      <c r="D11" s="5">
        <f t="shared" si="1"/>
        <v>0.91074681238615673</v>
      </c>
      <c r="E11" s="5">
        <f t="shared" si="2"/>
        <v>0.73179172288504324</v>
      </c>
      <c r="F11" s="5">
        <f t="shared" si="3"/>
        <v>0.72092786099191564</v>
      </c>
      <c r="G11" s="5">
        <f t="shared" si="4"/>
        <v>0.79157879136912335</v>
      </c>
    </row>
    <row r="12" spans="2:7" x14ac:dyDescent="0.4">
      <c r="B12" s="9">
        <v>0.8</v>
      </c>
      <c r="C12" s="5">
        <f t="shared" si="0"/>
        <v>1.0382300000000004</v>
      </c>
      <c r="D12" s="5">
        <f t="shared" si="1"/>
        <v>0.88652482269503541</v>
      </c>
      <c r="E12" s="5">
        <f t="shared" si="2"/>
        <v>0.8251369970070348</v>
      </c>
      <c r="F12" s="5">
        <f t="shared" si="3"/>
        <v>0.65602161835897499</v>
      </c>
      <c r="G12" s="5">
        <f t="shared" si="4"/>
        <v>0.73999238550892388</v>
      </c>
    </row>
    <row r="13" spans="2:7" x14ac:dyDescent="0.4">
      <c r="B13" s="9">
        <v>0.9</v>
      </c>
      <c r="C13" s="5">
        <f t="shared" si="0"/>
        <v>1.0088628652263374</v>
      </c>
      <c r="D13" s="5">
        <f t="shared" si="1"/>
        <v>0.86058519793459554</v>
      </c>
      <c r="E13" s="5">
        <f t="shared" si="2"/>
        <v>0.91459762321603855</v>
      </c>
      <c r="F13" s="5">
        <f t="shared" si="3"/>
        <v>0.59126007183559093</v>
      </c>
      <c r="G13" s="5">
        <f t="shared" si="4"/>
        <v>0.68704420347295658</v>
      </c>
    </row>
    <row r="14" spans="2:7" x14ac:dyDescent="0.4">
      <c r="B14" s="9">
        <v>1</v>
      </c>
      <c r="C14" s="5">
        <f t="shared" si="0"/>
        <v>1</v>
      </c>
      <c r="D14" s="5">
        <f t="shared" si="1"/>
        <v>0.83333333333333337</v>
      </c>
      <c r="E14" s="5">
        <f t="shared" si="2"/>
        <v>1</v>
      </c>
      <c r="F14" s="5">
        <f t="shared" si="3"/>
        <v>0.52828178771717416</v>
      </c>
      <c r="G14" s="5">
        <f t="shared" si="4"/>
        <v>0.63393814526060888</v>
      </c>
    </row>
    <row r="15" spans="2:7" x14ac:dyDescent="0.4">
      <c r="B15" s="9">
        <v>1.1000000000000001</v>
      </c>
      <c r="C15" s="5">
        <f t="shared" si="0"/>
        <v>1.0079253409090911</v>
      </c>
      <c r="D15" s="5">
        <f t="shared" si="1"/>
        <v>0.80515297906602257</v>
      </c>
      <c r="E15" s="5">
        <f t="shared" si="2"/>
        <v>1.081241011802579</v>
      </c>
      <c r="F15" s="5">
        <f t="shared" si="3"/>
        <v>0.46835419504729736</v>
      </c>
      <c r="G15" s="5">
        <f t="shared" si="4"/>
        <v>0.58169591024874334</v>
      </c>
    </row>
    <row r="16" spans="2:7" x14ac:dyDescent="0.4">
      <c r="B16" s="9">
        <v>1.2</v>
      </c>
      <c r="C16" s="5">
        <f t="shared" si="0"/>
        <v>1.0304397530864196</v>
      </c>
      <c r="D16" s="5">
        <f t="shared" si="1"/>
        <v>0.77639751552795044</v>
      </c>
      <c r="E16" s="5">
        <f t="shared" si="2"/>
        <v>1.1582810137580164</v>
      </c>
      <c r="F16" s="5">
        <f t="shared" si="3"/>
        <v>0.41237704231114203</v>
      </c>
      <c r="G16" s="5">
        <f t="shared" si="4"/>
        <v>0.53114163049675089</v>
      </c>
    </row>
    <row r="17" spans="2:7" x14ac:dyDescent="0.4">
      <c r="B17" s="9">
        <v>1.3</v>
      </c>
      <c r="C17" s="5">
        <f t="shared" si="0"/>
        <v>1.0663045192307699</v>
      </c>
      <c r="D17" s="5">
        <f t="shared" si="1"/>
        <v>0.74738415545590431</v>
      </c>
      <c r="E17" s="5">
        <f t="shared" si="2"/>
        <v>1.2311356819069839</v>
      </c>
      <c r="F17" s="5">
        <f t="shared" si="3"/>
        <v>0.36091389540913593</v>
      </c>
      <c r="G17" s="5">
        <f t="shared" si="4"/>
        <v>0.48290279205742392</v>
      </c>
    </row>
    <row r="18" spans="2:7" x14ac:dyDescent="0.4">
      <c r="B18" s="9">
        <v>1.4</v>
      </c>
      <c r="C18" s="5">
        <f t="shared" si="0"/>
        <v>1.1149257142857143</v>
      </c>
      <c r="D18" s="5">
        <f t="shared" si="1"/>
        <v>0.71839080459770122</v>
      </c>
      <c r="E18" s="5">
        <f t="shared" si="2"/>
        <v>1.299867367239363</v>
      </c>
      <c r="F18" s="5">
        <f t="shared" si="3"/>
        <v>0.31424087582682697</v>
      </c>
      <c r="G18" s="5">
        <f t="shared" si="4"/>
        <v>0.43742329915094313</v>
      </c>
    </row>
    <row r="19" spans="2:7" x14ac:dyDescent="0.4">
      <c r="B19" s="9">
        <v>1.5</v>
      </c>
      <c r="C19" s="5">
        <f t="shared" si="0"/>
        <v>1.1761670524691357</v>
      </c>
      <c r="D19" s="5">
        <f t="shared" si="1"/>
        <v>0.68965517241379315</v>
      </c>
      <c r="E19" s="5">
        <f t="shared" si="2"/>
        <v>1.3645764784420262</v>
      </c>
      <c r="F19" s="5">
        <f t="shared" si="3"/>
        <v>0.27240306647665746</v>
      </c>
      <c r="G19" s="5">
        <f t="shared" si="4"/>
        <v>0.39498444639115327</v>
      </c>
    </row>
    <row r="20" spans="2:7" x14ac:dyDescent="0.4">
      <c r="B20" s="9">
        <v>1.6</v>
      </c>
      <c r="C20" s="5">
        <f t="shared" si="0"/>
        <v>1.250235</v>
      </c>
      <c r="D20" s="5">
        <f t="shared" si="1"/>
        <v>0.66137566137566139</v>
      </c>
      <c r="E20" s="5">
        <f t="shared" si="2"/>
        <v>1.4253932901995967</v>
      </c>
      <c r="F20" s="5">
        <f t="shared" si="3"/>
        <v>0.23527118012648238</v>
      </c>
      <c r="G20" s="5">
        <f t="shared" si="4"/>
        <v>0.35573002435124129</v>
      </c>
    </row>
    <row r="21" spans="2:7" x14ac:dyDescent="0.4">
      <c r="B21" s="9">
        <v>1.7</v>
      </c>
      <c r="C21" s="5">
        <f t="shared" si="0"/>
        <v>1.3376063970588237</v>
      </c>
      <c r="D21" s="5">
        <f t="shared" si="1"/>
        <v>0.63371356147021551</v>
      </c>
      <c r="E21" s="5">
        <f t="shared" si="2"/>
        <v>1.482470448669621</v>
      </c>
      <c r="F21" s="5">
        <f t="shared" si="3"/>
        <v>0.20259349840383614</v>
      </c>
      <c r="G21" s="5">
        <f t="shared" si="4"/>
        <v>0.3196925404812534</v>
      </c>
    </row>
    <row r="22" spans="2:7" x14ac:dyDescent="0.4">
      <c r="B22" s="9">
        <v>1.8</v>
      </c>
      <c r="C22" s="5">
        <f t="shared" si="0"/>
        <v>1.4389820576131689</v>
      </c>
      <c r="D22" s="5">
        <f t="shared" si="1"/>
        <v>0.60679611650485443</v>
      </c>
      <c r="E22" s="5">
        <f t="shared" si="2"/>
        <v>1.5359763347691506</v>
      </c>
      <c r="F22" s="5">
        <f t="shared" si="3"/>
        <v>0.17404028036546976</v>
      </c>
      <c r="G22" s="5">
        <f t="shared" si="4"/>
        <v>0.28681838204229415</v>
      </c>
    </row>
    <row r="23" spans="2:7" x14ac:dyDescent="0.4">
      <c r="B23" s="9">
        <v>1.9</v>
      </c>
      <c r="C23" s="5">
        <f t="shared" si="0"/>
        <v>1.5552567763157896</v>
      </c>
      <c r="D23" s="5">
        <f t="shared" si="1"/>
        <v>0.58072009291521487</v>
      </c>
      <c r="E23" s="5">
        <f t="shared" si="2"/>
        <v>1.5860893551463962</v>
      </c>
      <c r="F23" s="5">
        <f t="shared" si="3"/>
        <v>0.1492395686387889</v>
      </c>
      <c r="G23" s="5">
        <f t="shared" si="4"/>
        <v>0.25699053719599446</v>
      </c>
    </row>
    <row r="24" spans="2:7" x14ac:dyDescent="0.4">
      <c r="B24" s="9">
        <v>2</v>
      </c>
      <c r="C24" s="5">
        <f t="shared" si="0"/>
        <v>1.6875000000000004</v>
      </c>
      <c r="D24" s="5">
        <f t="shared" si="1"/>
        <v>0.55555555555555558</v>
      </c>
      <c r="E24" s="5">
        <f t="shared" si="2"/>
        <v>1.6329931618554521</v>
      </c>
      <c r="F24" s="5">
        <f t="shared" si="3"/>
        <v>0.12780452546295096</v>
      </c>
      <c r="G24" s="5">
        <f t="shared" si="4"/>
        <v>0.23004814583331168</v>
      </c>
    </row>
    <row r="25" spans="2:7" x14ac:dyDescent="0.4">
      <c r="B25" s="9">
        <v>2.1</v>
      </c>
      <c r="C25" s="5">
        <f t="shared" si="0"/>
        <v>1.8369436089065252</v>
      </c>
      <c r="D25" s="5">
        <f t="shared" si="1"/>
        <v>0.53134962805526043</v>
      </c>
      <c r="E25" s="5">
        <f t="shared" si="2"/>
        <v>1.6768727535708958</v>
      </c>
      <c r="F25" s="5">
        <f t="shared" si="3"/>
        <v>0.10935315892526694</v>
      </c>
      <c r="G25" s="5">
        <f t="shared" si="4"/>
        <v>0.20580264509735235</v>
      </c>
    </row>
    <row r="26" spans="2:7" x14ac:dyDescent="0.4">
      <c r="B26" s="9">
        <v>2.2000000000000002</v>
      </c>
      <c r="C26" s="5">
        <f t="shared" si="0"/>
        <v>2.0049745454545462</v>
      </c>
      <c r="D26" s="5">
        <f t="shared" si="1"/>
        <v>0.50813008130081305</v>
      </c>
      <c r="E26" s="5">
        <f t="shared" si="2"/>
        <v>1.7179113807746669</v>
      </c>
      <c r="F26" s="5">
        <f t="shared" si="3"/>
        <v>9.3521652196252178E-2</v>
      </c>
      <c r="G26" s="5">
        <f t="shared" si="4"/>
        <v>0.18405061152222429</v>
      </c>
    </row>
    <row r="27" spans="2:7" x14ac:dyDescent="0.4">
      <c r="B27" s="9">
        <v>2.2999999999999998</v>
      </c>
      <c r="C27" s="5">
        <f t="shared" si="0"/>
        <v>2.1931308152173914</v>
      </c>
      <c r="D27" s="5">
        <f t="shared" si="1"/>
        <v>0.48590864917395532</v>
      </c>
      <c r="E27" s="5">
        <f t="shared" si="2"/>
        <v>1.7562881611387888</v>
      </c>
      <c r="F27" s="5">
        <f t="shared" si="3"/>
        <v>7.9972597763428202E-2</v>
      </c>
      <c r="G27" s="5">
        <f t="shared" si="4"/>
        <v>0.16458360619713525</v>
      </c>
    </row>
    <row r="28" spans="2:7" x14ac:dyDescent="0.4">
      <c r="B28" s="9">
        <v>2.4</v>
      </c>
      <c r="C28" s="5">
        <f t="shared" si="0"/>
        <v>2.4030998765432106</v>
      </c>
      <c r="D28" s="5">
        <f t="shared" si="1"/>
        <v>0.46468401486988853</v>
      </c>
      <c r="E28" s="5">
        <f t="shared" si="2"/>
        <v>1.7921763057190185</v>
      </c>
      <c r="F28" s="5">
        <f t="shared" si="3"/>
        <v>6.8399364314233005E-2</v>
      </c>
      <c r="G28" s="5">
        <f t="shared" si="4"/>
        <v>0.14719543200422941</v>
      </c>
    </row>
    <row r="29" spans="2:7" x14ac:dyDescent="0.4">
      <c r="B29" s="9">
        <v>2.5</v>
      </c>
      <c r="C29" s="5">
        <f t="shared" si="0"/>
        <v>2.6367187500000004</v>
      </c>
      <c r="D29" s="5">
        <f t="shared" si="1"/>
        <v>0.44444444444444442</v>
      </c>
      <c r="E29" s="5">
        <f t="shared" si="2"/>
        <v>1.8257418583505538</v>
      </c>
      <c r="F29" s="5">
        <f t="shared" si="3"/>
        <v>5.8527663465935055E-2</v>
      </c>
      <c r="G29" s="5">
        <f t="shared" si="4"/>
        <v>0.13168724279835387</v>
      </c>
    </row>
    <row r="30" spans="2:7" x14ac:dyDescent="0.4">
      <c r="B30" s="9">
        <v>2.6</v>
      </c>
      <c r="C30" s="5">
        <f t="shared" si="0"/>
        <v>2.8959753846153848</v>
      </c>
      <c r="D30" s="5">
        <f t="shared" si="1"/>
        <v>0.42517006802721091</v>
      </c>
      <c r="E30" s="5">
        <f t="shared" si="2"/>
        <v>1.8571428571428572</v>
      </c>
      <c r="F30" s="5">
        <f t="shared" si="3"/>
        <v>5.0115190907340866E-2</v>
      </c>
      <c r="G30" s="5">
        <f t="shared" si="4"/>
        <v>0.11787092901406571</v>
      </c>
    </row>
    <row r="31" spans="2:7" x14ac:dyDescent="0.4">
      <c r="B31" s="9">
        <v>2.7</v>
      </c>
      <c r="C31" s="5">
        <f t="shared" si="0"/>
        <v>3.183010955075448</v>
      </c>
      <c r="D31" s="5">
        <f t="shared" si="1"/>
        <v>0.4068348250610252</v>
      </c>
      <c r="E31" s="5">
        <f t="shared" si="2"/>
        <v>1.8865288361522197</v>
      </c>
      <c r="F31" s="5">
        <f t="shared" si="3"/>
        <v>4.2950025407012211E-2</v>
      </c>
      <c r="G31" s="5">
        <f t="shared" si="4"/>
        <v>0.105571162450436</v>
      </c>
    </row>
    <row r="32" spans="2:7" x14ac:dyDescent="0.4">
      <c r="B32" s="9">
        <v>2.8</v>
      </c>
      <c r="C32" s="5">
        <f t="shared" si="0"/>
        <v>3.5001228571428573</v>
      </c>
      <c r="D32" s="5">
        <f t="shared" si="1"/>
        <v>0.38940809968847356</v>
      </c>
      <c r="E32" s="5">
        <f t="shared" si="2"/>
        <v>1.9140405956690569</v>
      </c>
      <c r="F32" s="5">
        <f t="shared" si="3"/>
        <v>3.6848297935959264E-2</v>
      </c>
      <c r="G32" s="5">
        <f t="shared" si="4"/>
        <v>9.4626429099543385E-2</v>
      </c>
    </row>
    <row r="33" spans="2:7" x14ac:dyDescent="0.4">
      <c r="B33" s="9">
        <v>2.9</v>
      </c>
      <c r="C33" s="5">
        <f t="shared" si="0"/>
        <v>3.8497682327586227</v>
      </c>
      <c r="D33" s="5">
        <f t="shared" si="1"/>
        <v>0.37285607755406419</v>
      </c>
      <c r="E33" s="5">
        <f t="shared" si="2"/>
        <v>1.9398101800628886</v>
      </c>
      <c r="F33" s="5">
        <f t="shared" si="3"/>
        <v>3.1651499719626247E-2</v>
      </c>
      <c r="G33" s="5">
        <f t="shared" si="4"/>
        <v>8.4889322248037552E-2</v>
      </c>
    </row>
    <row r="34" spans="2:7" x14ac:dyDescent="0.4">
      <c r="B34" s="9">
        <v>3</v>
      </c>
      <c r="C34" s="5">
        <f t="shared" si="0"/>
        <v>4.2345679012345698</v>
      </c>
      <c r="D34" s="5">
        <f t="shared" si="1"/>
        <v>0.35714285714285715</v>
      </c>
      <c r="E34" s="5">
        <f t="shared" si="2"/>
        <v>1.9639610121239313</v>
      </c>
      <c r="F34" s="5">
        <f t="shared" si="3"/>
        <v>2.7223683703862831E-2</v>
      </c>
      <c r="G34" s="5">
        <f t="shared" si="4"/>
        <v>7.6226314370815895E-2</v>
      </c>
    </row>
  </sheetData>
  <mergeCells count="2">
    <mergeCell ref="C2:G2"/>
    <mergeCell ref="B2:B3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C0D16-D85C-4FDC-9177-9539C8122763}">
  <dimension ref="B2:AO50"/>
  <sheetViews>
    <sheetView zoomScale="70" zoomScaleNormal="70" workbookViewId="0">
      <selection activeCell="BB39" sqref="BB39"/>
    </sheetView>
  </sheetViews>
  <sheetFormatPr baseColWidth="10" defaultColWidth="11.5546875" defaultRowHeight="15.6" x14ac:dyDescent="0.4"/>
  <cols>
    <col min="1" max="1" width="2.6640625" style="1" customWidth="1"/>
    <col min="2" max="41" width="8.88671875" style="1" customWidth="1"/>
    <col min="42" max="42" width="2.6640625" style="1" customWidth="1"/>
    <col min="43" max="16384" width="11.5546875" style="1"/>
  </cols>
  <sheetData>
    <row r="2" spans="2:41" ht="15.6" customHeight="1" x14ac:dyDescent="0.4">
      <c r="B2" s="31" t="s">
        <v>5</v>
      </c>
      <c r="C2" s="31"/>
      <c r="D2" s="33" t="s">
        <v>4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2:41" ht="15.6" customHeight="1" x14ac:dyDescent="0.4">
      <c r="B3" s="31"/>
      <c r="C3" s="31"/>
      <c r="D3" s="32">
        <v>1.1000000000000001</v>
      </c>
      <c r="E3" s="32"/>
      <c r="F3" s="32">
        <v>1.2</v>
      </c>
      <c r="G3" s="32"/>
      <c r="H3" s="32">
        <v>1.3</v>
      </c>
      <c r="I3" s="32"/>
      <c r="J3" s="32">
        <v>1.4</v>
      </c>
      <c r="K3" s="32"/>
      <c r="L3" s="32">
        <v>1.5</v>
      </c>
      <c r="M3" s="32"/>
      <c r="N3" s="32">
        <v>1.6</v>
      </c>
      <c r="O3" s="32"/>
      <c r="P3" s="32">
        <v>1.7</v>
      </c>
      <c r="Q3" s="32"/>
      <c r="R3" s="32">
        <v>1.8</v>
      </c>
      <c r="S3" s="32"/>
      <c r="T3" s="32">
        <v>1.9</v>
      </c>
      <c r="U3" s="32"/>
      <c r="V3" s="32">
        <v>2</v>
      </c>
      <c r="W3" s="32"/>
      <c r="X3" s="32">
        <v>2.1</v>
      </c>
      <c r="Y3" s="32"/>
      <c r="Z3" s="32">
        <v>2.2000000000000002</v>
      </c>
      <c r="AA3" s="32"/>
      <c r="AB3" s="32">
        <v>2.2999999999999998</v>
      </c>
      <c r="AC3" s="32"/>
      <c r="AD3" s="32">
        <v>2.4</v>
      </c>
      <c r="AE3" s="32"/>
      <c r="AF3" s="32">
        <v>3</v>
      </c>
      <c r="AG3" s="32"/>
      <c r="AH3" s="32">
        <v>4</v>
      </c>
      <c r="AI3" s="32"/>
      <c r="AJ3" s="32">
        <v>5</v>
      </c>
      <c r="AK3" s="32"/>
      <c r="AL3" s="32">
        <v>10</v>
      </c>
      <c r="AM3" s="32"/>
      <c r="AN3" s="32">
        <v>100000</v>
      </c>
      <c r="AO3" s="32"/>
    </row>
    <row r="4" spans="2:41" ht="15.6" customHeight="1" x14ac:dyDescent="0.4">
      <c r="B4" s="11" t="s">
        <v>0</v>
      </c>
      <c r="C4" s="11" t="s">
        <v>1</v>
      </c>
      <c r="D4" s="6" t="s">
        <v>1</v>
      </c>
      <c r="E4" s="6" t="s">
        <v>0</v>
      </c>
      <c r="F4" s="6" t="s">
        <v>1</v>
      </c>
      <c r="G4" s="6" t="s">
        <v>0</v>
      </c>
      <c r="H4" s="6" t="s">
        <v>1</v>
      </c>
      <c r="I4" s="6" t="s">
        <v>0</v>
      </c>
      <c r="J4" s="6" t="s">
        <v>1</v>
      </c>
      <c r="K4" s="6" t="s">
        <v>0</v>
      </c>
      <c r="L4" s="6" t="s">
        <v>1</v>
      </c>
      <c r="M4" s="6" t="s">
        <v>0</v>
      </c>
      <c r="N4" s="6" t="s">
        <v>1</v>
      </c>
      <c r="O4" s="6" t="s">
        <v>0</v>
      </c>
      <c r="P4" s="6" t="s">
        <v>1</v>
      </c>
      <c r="Q4" s="6" t="s">
        <v>0</v>
      </c>
      <c r="R4" s="6" t="s">
        <v>1</v>
      </c>
      <c r="S4" s="6" t="s">
        <v>0</v>
      </c>
      <c r="T4" s="6" t="s">
        <v>1</v>
      </c>
      <c r="U4" s="6" t="s">
        <v>0</v>
      </c>
      <c r="V4" s="6" t="s">
        <v>1</v>
      </c>
      <c r="W4" s="6" t="s">
        <v>0</v>
      </c>
      <c r="X4" s="6" t="s">
        <v>1</v>
      </c>
      <c r="Y4" s="6" t="s">
        <v>0</v>
      </c>
      <c r="Z4" s="6" t="s">
        <v>1</v>
      </c>
      <c r="AA4" s="6" t="s">
        <v>0</v>
      </c>
      <c r="AB4" s="6" t="s">
        <v>1</v>
      </c>
      <c r="AC4" s="6" t="s">
        <v>0</v>
      </c>
      <c r="AD4" s="6" t="s">
        <v>1</v>
      </c>
      <c r="AE4" s="6" t="s">
        <v>0</v>
      </c>
      <c r="AF4" s="6" t="s">
        <v>1</v>
      </c>
      <c r="AG4" s="6" t="s">
        <v>0</v>
      </c>
      <c r="AH4" s="6" t="s">
        <v>1</v>
      </c>
      <c r="AI4" s="6" t="s">
        <v>0</v>
      </c>
      <c r="AJ4" s="6" t="s">
        <v>1</v>
      </c>
      <c r="AK4" s="6" t="s">
        <v>0</v>
      </c>
      <c r="AL4" s="6" t="s">
        <v>1</v>
      </c>
      <c r="AM4" s="6" t="s">
        <v>0</v>
      </c>
      <c r="AN4" s="6" t="s">
        <v>1</v>
      </c>
      <c r="AO4" s="6" t="s">
        <v>0</v>
      </c>
    </row>
    <row r="5" spans="2:41" ht="15.6" customHeight="1" x14ac:dyDescent="0.4">
      <c r="B5" s="9">
        <v>0</v>
      </c>
      <c r="C5" s="10"/>
      <c r="D5" s="3"/>
      <c r="E5" s="3"/>
      <c r="F5" s="3"/>
      <c r="G5" s="3"/>
      <c r="H5" s="3"/>
      <c r="I5" s="3"/>
      <c r="J5" s="3"/>
      <c r="K5" s="3"/>
      <c r="L5" s="3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2"/>
      <c r="AG5" s="2"/>
      <c r="AH5" s="2"/>
      <c r="AI5" s="2"/>
      <c r="AJ5" s="2"/>
      <c r="AK5" s="2"/>
      <c r="AL5" s="2"/>
      <c r="AM5" s="2"/>
      <c r="AN5" s="2"/>
      <c r="AO5" s="2">
        <v>0</v>
      </c>
    </row>
    <row r="6" spans="2:41" ht="15.6" customHeight="1" x14ac:dyDescent="0.4">
      <c r="B6" s="9">
        <v>2</v>
      </c>
      <c r="C6" s="10">
        <f t="shared" ref="C6:C50" si="0">B6*PI()/180</f>
        <v>3.4906585039886591E-2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>
        <f>ATAN(_xlfn.COT($C6)*((AN$3^2*(SIN($C6))^2-1)/(1+(((1.4+1)/(2))-(SIN($C6))^2)*AN$3^2)))</f>
        <v>2.9086520117542959E-2</v>
      </c>
      <c r="AO6" s="3">
        <f>AN6*180/PI()</f>
        <v>1.6665348434575749</v>
      </c>
    </row>
    <row r="7" spans="2:41" ht="15.6" customHeight="1" x14ac:dyDescent="0.4">
      <c r="B7" s="9">
        <v>4</v>
      </c>
      <c r="C7" s="10">
        <f t="shared" si="0"/>
        <v>6.9813170079773182E-2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>
        <f t="shared" ref="AD7:AN29" si="1">ATAN(_xlfn.COT($C7)*((AL$3^2*(SIN($C7))^2-1)/(1+(((1.4+1)/(2))-(SIN($C7))^2)*AL$3^2)))</f>
        <v>-6.0847571105163832E-2</v>
      </c>
      <c r="AM7" s="3">
        <f t="shared" ref="AM7" si="2">AL7*180/PI()</f>
        <v>-3.486309017948066</v>
      </c>
      <c r="AN7" s="3">
        <f t="shared" si="1"/>
        <v>5.8159227844574814E-2</v>
      </c>
      <c r="AO7" s="3">
        <f t="shared" ref="AO7" si="3">AN7*180/PI()</f>
        <v>3.3322782952338765</v>
      </c>
    </row>
    <row r="8" spans="2:41" ht="15.6" customHeight="1" x14ac:dyDescent="0.4">
      <c r="B8" s="9">
        <v>6</v>
      </c>
      <c r="C8" s="10">
        <f t="shared" si="0"/>
        <v>0.10471975511965977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>
        <f t="shared" si="1"/>
        <v>7.3490407505330951E-3</v>
      </c>
      <c r="AM8" s="3">
        <f t="shared" ref="AM8" si="4">AL8*180/PI()</f>
        <v>0.42106901847520128</v>
      </c>
      <c r="AN8" s="3">
        <f t="shared" si="1"/>
        <v>8.7204173228140211E-2</v>
      </c>
      <c r="AO8" s="3">
        <f t="shared" ref="AO8" si="5">AN8*180/PI()</f>
        <v>4.9964310819001581</v>
      </c>
    </row>
    <row r="9" spans="2:41" ht="15.6" customHeight="1" x14ac:dyDescent="0.4">
      <c r="B9" s="9">
        <v>8</v>
      </c>
      <c r="C9" s="10">
        <f t="shared" si="0"/>
        <v>0.13962634015954636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>
        <f t="shared" si="1"/>
        <v>5.5932908212185169E-2</v>
      </c>
      <c r="AM9" s="3">
        <f t="shared" ref="AM9" si="6">AL9*180/PI()</f>
        <v>3.2047195764508332</v>
      </c>
      <c r="AN9" s="3">
        <f t="shared" si="1"/>
        <v>0.11620714952862575</v>
      </c>
      <c r="AO9" s="3">
        <f t="shared" ref="AO9" si="7">AN9*180/PI()</f>
        <v>6.6581792172359293</v>
      </c>
    </row>
    <row r="10" spans="2:41" ht="15.6" customHeight="1" x14ac:dyDescent="0.4">
      <c r="B10" s="9">
        <v>10</v>
      </c>
      <c r="C10" s="10">
        <f t="shared" si="0"/>
        <v>0.17453292519943295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>
        <f t="shared" si="1"/>
        <v>-4.6122881603868938E-2</v>
      </c>
      <c r="AK10" s="3">
        <f t="shared" ref="AK10" si="8">AJ10*180/PI()</f>
        <v>-2.6426464548832755</v>
      </c>
      <c r="AL10" s="3">
        <f t="shared" si="1"/>
        <v>9.6573344866532976E-2</v>
      </c>
      <c r="AM10" s="3">
        <f t="shared" ref="AM10" si="9">AL10*180/PI()</f>
        <v>5.5332450743137347</v>
      </c>
      <c r="AN10" s="3">
        <f t="shared" si="1"/>
        <v>0.14515355042640213</v>
      </c>
      <c r="AO10" s="3">
        <f t="shared" ref="AO10" si="10">AN10*180/PI()</f>
        <v>8.3166858207722125</v>
      </c>
    </row>
    <row r="11" spans="2:41" ht="15.6" customHeight="1" x14ac:dyDescent="0.4">
      <c r="B11" s="9">
        <v>12</v>
      </c>
      <c r="C11" s="10">
        <f t="shared" si="0"/>
        <v>0.20943951023931953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>
        <f t="shared" si="1"/>
        <v>1.2686036607802622E-2</v>
      </c>
      <c r="AK11" s="3">
        <f t="shared" ref="AK11" si="11">AJ11*180/PI()</f>
        <v>0.72685635637554979</v>
      </c>
      <c r="AL11" s="3">
        <f t="shared" si="1"/>
        <v>0.13318500589302049</v>
      </c>
      <c r="AM11" s="3">
        <f t="shared" ref="AM11" si="12">AL11*180/PI()</f>
        <v>7.6309387320950712</v>
      </c>
      <c r="AN11" s="3">
        <f t="shared" si="1"/>
        <v>0.17402822508042984</v>
      </c>
      <c r="AO11" s="3">
        <f t="shared" ref="AO11" si="13">AN11*180/PI()</f>
        <v>9.971082813261372</v>
      </c>
    </row>
    <row r="12" spans="2:41" ht="15.6" customHeight="1" x14ac:dyDescent="0.4">
      <c r="B12" s="9">
        <v>14</v>
      </c>
      <c r="C12" s="10">
        <f t="shared" si="0"/>
        <v>0.24434609527920614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>
        <f t="shared" si="1"/>
        <v>-1.323707883099005E-2</v>
      </c>
      <c r="AI12" s="3">
        <f t="shared" ref="AI12" si="14">AH12*180/PI()</f>
        <v>-0.75842875009769539</v>
      </c>
      <c r="AJ12" s="3">
        <f t="shared" si="1"/>
        <v>6.2808679989794114E-2</v>
      </c>
      <c r="AK12" s="3">
        <f t="shared" ref="AK12" si="15">AJ12*180/PI()</f>
        <v>3.5986722802029893</v>
      </c>
      <c r="AL12" s="3">
        <f t="shared" si="1"/>
        <v>0.16744248672428544</v>
      </c>
      <c r="AM12" s="3">
        <f t="shared" ref="AM12" si="16">AL12*180/PI()</f>
        <v>9.5937478004768728</v>
      </c>
      <c r="AN12" s="3">
        <f t="shared" si="1"/>
        <v>0.2028153217661148</v>
      </c>
      <c r="AO12" s="3">
        <f t="shared" ref="AO12" si="17">AN12*180/PI()</f>
        <v>11.62046195778616</v>
      </c>
    </row>
    <row r="13" spans="2:41" ht="15.6" customHeight="1" x14ac:dyDescent="0.4">
      <c r="B13" s="9">
        <v>16</v>
      </c>
      <c r="C13" s="10">
        <f t="shared" si="0"/>
        <v>0.27925268031909273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>
        <f t="shared" si="1"/>
        <v>3.9587631082522036E-2</v>
      </c>
      <c r="AI13" s="3">
        <f t="shared" ref="AI13" si="18">AH13*180/PI()</f>
        <v>2.268204181949427</v>
      </c>
      <c r="AJ13" s="3">
        <f t="shared" si="1"/>
        <v>0.10736939934747712</v>
      </c>
      <c r="AK13" s="3">
        <f t="shared" ref="AK13" si="19">AJ13*180/PI()</f>
        <v>6.1518134314651336</v>
      </c>
      <c r="AL13" s="3">
        <f t="shared" si="1"/>
        <v>0.20017569139230754</v>
      </c>
      <c r="AM13" s="3">
        <f t="shared" ref="AM13" si="20">AL13*180/PI()</f>
        <v>11.469222277892463</v>
      </c>
      <c r="AN13" s="3">
        <f t="shared" si="1"/>
        <v>0.23149811692343267</v>
      </c>
      <c r="AO13" s="3">
        <f t="shared" ref="AO13" si="21">AN13*180/PI()</f>
        <v>13.26386506493875</v>
      </c>
    </row>
    <row r="14" spans="2:41" ht="15.6" customHeight="1" x14ac:dyDescent="0.4">
      <c r="B14" s="9">
        <v>18</v>
      </c>
      <c r="C14" s="10">
        <f t="shared" si="0"/>
        <v>0.31415926535897931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>
        <f t="shared" si="1"/>
        <v>-3.9524844257189821E-2</v>
      </c>
      <c r="AG14" s="3">
        <f t="shared" ref="AE14:AG14" si="22">AF14*180/PI()</f>
        <v>-2.2646067618488663</v>
      </c>
      <c r="AH14" s="3">
        <f t="shared" si="1"/>
        <v>8.678800991080747E-2</v>
      </c>
      <c r="AI14" s="3">
        <f t="shared" ref="AI14" si="23">AH14*180/PI()</f>
        <v>4.9725866802288277</v>
      </c>
      <c r="AJ14" s="3">
        <f t="shared" si="1"/>
        <v>0.14812850010216724</v>
      </c>
      <c r="AK14" s="3">
        <f t="shared" ref="AK14" si="24">AJ14*180/PI()</f>
        <v>8.4871378814573664</v>
      </c>
      <c r="AL14" s="3">
        <f t="shared" si="1"/>
        <v>0.23183742309758951</v>
      </c>
      <c r="AM14" s="3">
        <f t="shared" ref="AM14" si="25">AL14*180/PI()</f>
        <v>13.283305876680668</v>
      </c>
      <c r="AN14" s="3">
        <f t="shared" si="1"/>
        <v>0.26005882566397276</v>
      </c>
      <c r="AO14" s="3">
        <f t="shared" ref="AO14" si="26">AN14*180/PI()</f>
        <v>14.900273135674098</v>
      </c>
    </row>
    <row r="15" spans="2:41" ht="15.6" customHeight="1" x14ac:dyDescent="0.4">
      <c r="B15" s="9">
        <v>20</v>
      </c>
      <c r="C15" s="10">
        <f t="shared" si="0"/>
        <v>0.3490658503988659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>
        <f t="shared" si="1"/>
        <v>1.3497284394437131E-2</v>
      </c>
      <c r="AG15" s="3">
        <f t="shared" ref="AE15:AG15" si="27">AF15*180/PI()</f>
        <v>0.7733374306890366</v>
      </c>
      <c r="AH15" s="3">
        <f t="shared" si="1"/>
        <v>0.12992615437846872</v>
      </c>
      <c r="AI15" s="3">
        <f t="shared" ref="AI15" si="28">AH15*180/PI()</f>
        <v>7.4442202942514388</v>
      </c>
      <c r="AJ15" s="3">
        <f t="shared" si="1"/>
        <v>0.1861461432540118</v>
      </c>
      <c r="AK15" s="3">
        <f t="shared" ref="AK15" si="29">AJ15*180/PI()</f>
        <v>10.665388381092498</v>
      </c>
      <c r="AL15" s="3">
        <f t="shared" si="1"/>
        <v>0.26269086140825992</v>
      </c>
      <c r="AM15" s="3">
        <f t="shared" ref="AM15" si="30">AL15*180/PI()</f>
        <v>15.051077675349326</v>
      </c>
      <c r="AN15" s="3">
        <f t="shared" si="1"/>
        <v>0.28847838908153162</v>
      </c>
      <c r="AO15" s="3">
        <f t="shared" ref="AO15" si="31">AN15*180/PI()</f>
        <v>16.528594175104608</v>
      </c>
    </row>
    <row r="16" spans="2:41" ht="15.6" customHeight="1" x14ac:dyDescent="0.4">
      <c r="B16" s="9">
        <v>22</v>
      </c>
      <c r="C16" s="10">
        <f t="shared" si="0"/>
        <v>0.38397243543875248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>
        <f t="shared" si="1"/>
        <v>6.1691950904027966E-2</v>
      </c>
      <c r="AG16" s="3">
        <f t="shared" ref="AE16:AG16" si="32">AF16*180/PI()</f>
        <v>3.534688416729086</v>
      </c>
      <c r="AH16" s="3">
        <f t="shared" si="1"/>
        <v>0.17000704434788891</v>
      </c>
      <c r="AI16" s="3">
        <f t="shared" ref="AI16" si="33">AH16*180/PI()</f>
        <v>9.740686128627452</v>
      </c>
      <c r="AJ16" s="3">
        <f t="shared" si="1"/>
        <v>0.22209328245028873</v>
      </c>
      <c r="AK16" s="3">
        <f t="shared" ref="AK16" si="34">AJ16*180/PI()</f>
        <v>12.72500774260846</v>
      </c>
      <c r="AL16" s="3">
        <f t="shared" si="1"/>
        <v>0.29289479438022703</v>
      </c>
      <c r="AM16" s="3">
        <f t="shared" ref="AM16" si="35">AL16*180/PI()</f>
        <v>16.781635559339072</v>
      </c>
      <c r="AN16" s="3">
        <f t="shared" si="1"/>
        <v>0.31673623283040114</v>
      </c>
      <c r="AO16" s="3">
        <f t="shared" ref="AO16" si="36">AN16*180/PI()</f>
        <v>18.14764936005497</v>
      </c>
    </row>
    <row r="17" spans="2:41" ht="15.6" customHeight="1" x14ac:dyDescent="0.4">
      <c r="B17" s="9">
        <v>24</v>
      </c>
      <c r="C17" s="10">
        <f t="shared" si="0"/>
        <v>0.41887902047863906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f t="shared" ref="AB9:AB29" si="37">ATAN(_xlfn.COT($C17)*((AB$3^2*(SIN($C17))^2-1)/(1+(((1.4+1)/(2))-(SIN($C17))^2)*AB$3^2)))</f>
        <v>-4.3295218683936113E-2</v>
      </c>
      <c r="AC17" s="3">
        <f t="shared" ref="AC17" si="38">AB17*180/PI()</f>
        <v>-2.4806333036854857</v>
      </c>
      <c r="AD17" s="3">
        <f t="shared" si="1"/>
        <v>-1.5199032858751696E-2</v>
      </c>
      <c r="AE17" s="3">
        <f t="shared" ref="AE17:AG17" si="39">AD17*180/PI()</f>
        <v>-0.87084043548713053</v>
      </c>
      <c r="AF17" s="3">
        <f t="shared" si="1"/>
        <v>0.10609854333120143</v>
      </c>
      <c r="AG17" s="3">
        <f t="shared" si="39"/>
        <v>6.0789987453637284</v>
      </c>
      <c r="AH17" s="3">
        <f t="shared" si="1"/>
        <v>0.20770045979048107</v>
      </c>
      <c r="AI17" s="3">
        <f t="shared" ref="AI17" si="40">AH17*180/PI()</f>
        <v>11.900359748921224</v>
      </c>
      <c r="AJ17" s="3">
        <f t="shared" si="1"/>
        <v>0.25641016375913617</v>
      </c>
      <c r="AK17" s="3">
        <f t="shared" ref="AK17" si="41">AJ17*180/PI()</f>
        <v>14.691220207656798</v>
      </c>
      <c r="AL17" s="3">
        <f t="shared" si="1"/>
        <v>0.32254612833328067</v>
      </c>
      <c r="AM17" s="3">
        <f t="shared" ref="AM17" si="42">AL17*180/PI()</f>
        <v>18.480531851782004</v>
      </c>
      <c r="AN17" s="3">
        <f t="shared" si="1"/>
        <v>0.3448099903098743</v>
      </c>
      <c r="AO17" s="3">
        <f t="shared" ref="AO17" si="43">AN17*180/PI()</f>
        <v>19.756157178702612</v>
      </c>
    </row>
    <row r="18" spans="2:41" ht="15.6" customHeight="1" x14ac:dyDescent="0.4">
      <c r="B18" s="9">
        <v>26</v>
      </c>
      <c r="C18" s="10">
        <f t="shared" si="0"/>
        <v>0.4537856055185257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f t="shared" ref="F7:AB29" si="44">ATAN(_xlfn.COT($C18)*((Z$3^2*(SIN($C18))^2-1)/(1+(((1.4+1)/(2))-(SIN($C18))^2)*Z$3^2)))</f>
        <v>-2.4377653264411013E-2</v>
      </c>
      <c r="AA18" s="3">
        <f t="shared" ref="AA18" si="45">Z18*180/PI()</f>
        <v>-1.3967366464840649</v>
      </c>
      <c r="AB18" s="3">
        <f t="shared" si="37"/>
        <v>5.3675558775447317E-3</v>
      </c>
      <c r="AC18" s="3">
        <f t="shared" ref="AC18" si="46">AB18*180/PI()</f>
        <v>0.30753829808395206</v>
      </c>
      <c r="AD18" s="3">
        <f t="shared" si="1"/>
        <v>3.2195153156197441E-2</v>
      </c>
      <c r="AE18" s="3">
        <f t="shared" ref="AE18:AG18" si="47">AD18*180/PI()</f>
        <v>1.8446463966274051</v>
      </c>
      <c r="AF18" s="3">
        <f t="shared" si="1"/>
        <v>0.14744971751755254</v>
      </c>
      <c r="AG18" s="3">
        <f t="shared" si="47"/>
        <v>8.4482465041519621</v>
      </c>
      <c r="AH18" s="3">
        <f t="shared" si="1"/>
        <v>0.24346449852047997</v>
      </c>
      <c r="AI18" s="3">
        <f t="shared" ref="AI18" si="48">AH18*180/PI()</f>
        <v>13.949488226492578</v>
      </c>
      <c r="AJ18" s="3">
        <f t="shared" si="1"/>
        <v>0.28939271916302972</v>
      </c>
      <c r="AK18" s="3">
        <f t="shared" ref="AK18" si="49">AJ18*180/PI()</f>
        <v>16.580981429856305</v>
      </c>
      <c r="AL18" s="3">
        <f t="shared" si="1"/>
        <v>0.35170262160708932</v>
      </c>
      <c r="AM18" s="3">
        <f t="shared" ref="AM18" si="50">AL18*180/PI()</f>
        <v>20.151075861772814</v>
      </c>
      <c r="AN18" s="3">
        <f t="shared" si="1"/>
        <v>0.37267518235246688</v>
      </c>
      <c r="AO18" s="3">
        <f t="shared" ref="AO18" si="51">AN18*180/PI()</f>
        <v>21.352715078064691</v>
      </c>
    </row>
    <row r="19" spans="2:41" ht="15.6" customHeight="1" x14ac:dyDescent="0.4">
      <c r="B19" s="9">
        <v>28</v>
      </c>
      <c r="C19" s="10">
        <f t="shared" si="0"/>
        <v>0.48869219055841229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f t="shared" si="44"/>
        <v>-4.5238300257810914E-2</v>
      </c>
      <c r="W19" s="3">
        <f t="shared" ref="W19" si="52">V19*180/PI()</f>
        <v>-2.5919636771181489</v>
      </c>
      <c r="X19" s="3">
        <f t="shared" si="44"/>
        <v>-9.9053933674588812E-3</v>
      </c>
      <c r="Y19" s="3">
        <f t="shared" ref="Y19" si="53">X19*180/PI()</f>
        <v>-0.5675372343722721</v>
      </c>
      <c r="Z19" s="3">
        <f t="shared" si="44"/>
        <v>2.1863622872188071E-2</v>
      </c>
      <c r="AA19" s="3">
        <f t="shared" ref="AA19" si="54">Z19*180/PI()</f>
        <v>1.2526933154420714</v>
      </c>
      <c r="AB19" s="3">
        <f t="shared" si="37"/>
        <v>5.0438358799859549E-2</v>
      </c>
      <c r="AC19" s="3">
        <f t="shared" ref="AC19" si="55">AB19*180/PI()</f>
        <v>2.8899050847984884</v>
      </c>
      <c r="AD19" s="3">
        <f t="shared" si="1"/>
        <v>7.6164552508053873E-2</v>
      </c>
      <c r="AE19" s="3">
        <f t="shared" ref="AE19:AG19" si="56">AD19*180/PI()</f>
        <v>4.363907407214036</v>
      </c>
      <c r="AF19" s="3">
        <f t="shared" si="1"/>
        <v>0.18627025462364646</v>
      </c>
      <c r="AG19" s="3">
        <f t="shared" si="56"/>
        <v>10.672499438762152</v>
      </c>
      <c r="AH19" s="3">
        <f t="shared" si="1"/>
        <v>0.27761776204852429</v>
      </c>
      <c r="AI19" s="3">
        <f t="shared" ref="AI19" si="57">AH19*180/PI()</f>
        <v>15.906326083247601</v>
      </c>
      <c r="AJ19" s="3">
        <f t="shared" si="1"/>
        <v>0.32124224704019594</v>
      </c>
      <c r="AK19" s="3">
        <f t="shared" ref="AK19" si="58">AJ19*180/PI()</f>
        <v>18.40582495670219</v>
      </c>
      <c r="AL19" s="3">
        <f t="shared" si="1"/>
        <v>0.38039568701218129</v>
      </c>
      <c r="AM19" s="3">
        <f t="shared" ref="AM19" si="59">AL19*180/PI()</f>
        <v>21.79506741077741</v>
      </c>
      <c r="AN19" s="3">
        <f t="shared" si="1"/>
        <v>0.40030484346617867</v>
      </c>
      <c r="AO19" s="3">
        <f t="shared" ref="AO19" si="60">AN19*180/PI()</f>
        <v>22.935778049257106</v>
      </c>
    </row>
    <row r="20" spans="2:41" ht="15.6" customHeight="1" x14ac:dyDescent="0.4">
      <c r="B20" s="9">
        <v>30</v>
      </c>
      <c r="C20" s="10">
        <f t="shared" si="0"/>
        <v>0.52359877559829882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>
        <f t="shared" si="44"/>
        <v>-3.8106604350031749E-2</v>
      </c>
      <c r="U20" s="3">
        <f t="shared" ref="U20" si="61">T20*180/PI()</f>
        <v>-2.183347600831683</v>
      </c>
      <c r="V20" s="3">
        <f t="shared" si="44"/>
        <v>-8.0123445265981838E-17</v>
      </c>
      <c r="W20" s="3">
        <f t="shared" ref="W20" si="62">V20*180/PI()</f>
        <v>-4.5907352537882144E-15</v>
      </c>
      <c r="X20" s="3">
        <f t="shared" si="44"/>
        <v>3.4197128158218813E-2</v>
      </c>
      <c r="Y20" s="3">
        <f t="shared" ref="Y20" si="63">X20*180/PI()</f>
        <v>1.959351114933924</v>
      </c>
      <c r="Z20" s="3">
        <f t="shared" si="44"/>
        <v>6.4883905048969168E-2</v>
      </c>
      <c r="AA20" s="3">
        <f t="shared" ref="AA20" si="64">Z20*180/PI()</f>
        <v>3.7175739176335063</v>
      </c>
      <c r="AB20" s="3">
        <f t="shared" si="37"/>
        <v>9.2439536216095713E-2</v>
      </c>
      <c r="AC20" s="3">
        <f t="shared" ref="AC20" si="65">AB20*180/PI()</f>
        <v>5.2963952853290079</v>
      </c>
      <c r="AD20" s="3">
        <f t="shared" si="1"/>
        <v>0.1172139909094863</v>
      </c>
      <c r="AE20" s="3">
        <f t="shared" ref="AE20:AG20" si="66">AD20*180/PI()</f>
        <v>6.7158669789983625</v>
      </c>
      <c r="AF20" s="3">
        <f t="shared" si="1"/>
        <v>0.22293975555960727</v>
      </c>
      <c r="AG20" s="3">
        <f t="shared" si="66"/>
        <v>12.773507079243728</v>
      </c>
      <c r="AH20" s="3">
        <f t="shared" si="1"/>
        <v>0.31038326577286895</v>
      </c>
      <c r="AI20" s="3">
        <f t="shared" ref="AI20" si="67">AH20*180/PI()</f>
        <v>17.783651160272733</v>
      </c>
      <c r="AJ20" s="3">
        <f t="shared" si="1"/>
        <v>0.35209522159588547</v>
      </c>
      <c r="AK20" s="3">
        <f t="shared" ref="AK20" si="68">AJ20*180/PI()</f>
        <v>20.173570184167716</v>
      </c>
      <c r="AL20" s="3">
        <f t="shared" si="1"/>
        <v>0.40863785509759232</v>
      </c>
      <c r="AM20" s="3">
        <f t="shared" ref="AM20" si="69">AL20*180/PI()</f>
        <v>23.413224446370535</v>
      </c>
      <c r="AN20" s="3">
        <f t="shared" si="1"/>
        <v>0.42766908230692752</v>
      </c>
      <c r="AO20" s="3">
        <f t="shared" ref="AO20" si="70">AN20*180/PI()</f>
        <v>24.503633444419975</v>
      </c>
    </row>
    <row r="21" spans="2:41" ht="15.6" customHeight="1" x14ac:dyDescent="0.4">
      <c r="B21" s="9">
        <v>32</v>
      </c>
      <c r="C21" s="10">
        <f t="shared" si="0"/>
        <v>0.55850536063818546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f t="shared" si="44"/>
        <v>-3.6254174571252865E-2</v>
      </c>
      <c r="S21" s="3">
        <f t="shared" ref="S21" si="71">R21*180/PI()</f>
        <v>-2.0772111926633001</v>
      </c>
      <c r="T21" s="3">
        <f t="shared" si="44"/>
        <v>5.0919895727376367E-3</v>
      </c>
      <c r="U21" s="3">
        <f t="shared" ref="U21" si="72">T21*180/PI()</f>
        <v>0.29174951184248993</v>
      </c>
      <c r="V21" s="3">
        <f t="shared" si="44"/>
        <v>4.2152572889308043E-2</v>
      </c>
      <c r="W21" s="3">
        <f t="shared" ref="W21" si="73">V21*180/PI()</f>
        <v>2.4151645221749249</v>
      </c>
      <c r="X21" s="3">
        <f t="shared" si="44"/>
        <v>7.5348947707957581E-2</v>
      </c>
      <c r="Y21" s="3">
        <f t="shared" ref="Y21" si="74">X21*180/PI()</f>
        <v>4.3171766944179071</v>
      </c>
      <c r="Z21" s="3">
        <f t="shared" si="44"/>
        <v>0.10509167238310076</v>
      </c>
      <c r="AA21" s="3">
        <f t="shared" ref="AA21" si="75">Z21*180/PI()</f>
        <v>6.0213092895232245</v>
      </c>
      <c r="AB21" s="3">
        <f t="shared" si="37"/>
        <v>0.13176545052408034</v>
      </c>
      <c r="AC21" s="3">
        <f t="shared" ref="AC21" si="76">AB21*180/PI()</f>
        <v>7.5496042006696653</v>
      </c>
      <c r="AD21" s="3">
        <f t="shared" si="1"/>
        <v>0.15572171785944472</v>
      </c>
      <c r="AE21" s="3">
        <f t="shared" ref="AE21:AG21" si="77">AD21*180/PI()</f>
        <v>8.9221972118731578</v>
      </c>
      <c r="AF21" s="3">
        <f t="shared" si="1"/>
        <v>0.25773339284000463</v>
      </c>
      <c r="AG21" s="3">
        <f t="shared" si="77"/>
        <v>14.767035649319535</v>
      </c>
      <c r="AH21" s="3">
        <f t="shared" si="1"/>
        <v>0.34191601798607946</v>
      </c>
      <c r="AI21" s="3">
        <f t="shared" ref="AI21" si="78">AH21*180/PI()</f>
        <v>19.590344778521498</v>
      </c>
      <c r="AJ21" s="3">
        <f t="shared" si="1"/>
        <v>0.38204176861531303</v>
      </c>
      <c r="AK21" s="3">
        <f t="shared" ref="AK21" si="79">AJ21*180/PI()</f>
        <v>21.889380939370991</v>
      </c>
      <c r="AL21" s="3">
        <f t="shared" si="1"/>
        <v>0.43642718703795735</v>
      </c>
      <c r="AM21" s="3">
        <f t="shared" ref="AM21" si="80">AL21*180/PI()</f>
        <v>25.005435882041542</v>
      </c>
      <c r="AN21" s="3">
        <f t="shared" si="1"/>
        <v>0.45473456099356901</v>
      </c>
      <c r="AO21" s="3">
        <f t="shared" ref="AO21" si="81">AN21*180/PI()</f>
        <v>26.054371143665815</v>
      </c>
    </row>
    <row r="22" spans="2:41" ht="15.6" customHeight="1" x14ac:dyDescent="0.4">
      <c r="B22" s="9">
        <v>34</v>
      </c>
      <c r="C22" s="10">
        <f t="shared" si="0"/>
        <v>0.59341194567807209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f t="shared" si="44"/>
        <v>5.0264263431826278E-3</v>
      </c>
      <c r="S22" s="3">
        <f t="shared" ref="S22" si="82">R22*180/PI()</f>
        <v>0.28799301549774053</v>
      </c>
      <c r="T22" s="3">
        <f t="shared" si="44"/>
        <v>4.5412105922029961E-2</v>
      </c>
      <c r="U22" s="3">
        <f t="shared" ref="U22" si="83">T22*180/PI()</f>
        <v>2.6019220081333687</v>
      </c>
      <c r="V22" s="3">
        <f t="shared" si="44"/>
        <v>8.1548647118735496E-2</v>
      </c>
      <c r="W22" s="3">
        <f t="shared" ref="W22" si="84">V22*180/PI()</f>
        <v>4.6723933049052251</v>
      </c>
      <c r="X22" s="3">
        <f t="shared" si="44"/>
        <v>0.11387093771051704</v>
      </c>
      <c r="Y22" s="3">
        <f t="shared" ref="Y22" si="85">X22*180/PI()</f>
        <v>6.5243241400097158</v>
      </c>
      <c r="Z22" s="3">
        <f t="shared" si="44"/>
        <v>0.14279649933033609</v>
      </c>
      <c r="AA22" s="3">
        <f t="shared" ref="AA22" si="86">Z22*180/PI()</f>
        <v>8.1816367408709443</v>
      </c>
      <c r="AB22" s="3">
        <f t="shared" si="37"/>
        <v>0.16871249310432174</v>
      </c>
      <c r="AC22" s="3">
        <f t="shared" ref="AC22" si="87">AB22*180/PI()</f>
        <v>9.6665138060076394</v>
      </c>
      <c r="AD22" s="3">
        <f t="shared" si="1"/>
        <v>0.19196986860678747</v>
      </c>
      <c r="AE22" s="3">
        <f t="shared" ref="AE22:AG22" si="88">AD22*180/PI()</f>
        <v>10.99906326484988</v>
      </c>
      <c r="AF22" s="3">
        <f t="shared" si="1"/>
        <v>0.29084893883969221</v>
      </c>
      <c r="AG22" s="3">
        <f t="shared" si="88"/>
        <v>16.664416671372972</v>
      </c>
      <c r="AH22" s="3">
        <f t="shared" si="1"/>
        <v>0.37232075768696743</v>
      </c>
      <c r="AI22" s="3">
        <f t="shared" ref="AI22" si="89">AH22*180/PI()</f>
        <v>21.332408040576237</v>
      </c>
      <c r="AJ22" s="3">
        <f t="shared" si="1"/>
        <v>0.41113736739417833</v>
      </c>
      <c r="AK22" s="3">
        <f t="shared" ref="AK22" si="90">AJ22*180/PI()</f>
        <v>23.556435951805963</v>
      </c>
      <c r="AL22" s="3">
        <f t="shared" si="1"/>
        <v>0.46374983832106398</v>
      </c>
      <c r="AM22" s="3">
        <f t="shared" ref="AM22" si="91">AL22*180/PI()</f>
        <v>26.570908485671261</v>
      </c>
      <c r="AN22" s="3">
        <f t="shared" si="1"/>
        <v>0.48146387390485207</v>
      </c>
      <c r="AO22" s="3">
        <f t="shared" ref="AO22" si="92">AN22*180/PI()</f>
        <v>27.585847962766874</v>
      </c>
    </row>
    <row r="23" spans="2:41" ht="15.6" customHeight="1" x14ac:dyDescent="0.4">
      <c r="B23" s="9">
        <v>36</v>
      </c>
      <c r="C23" s="10">
        <f t="shared" si="0"/>
        <v>0.62831853071795862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44"/>
        <v>-6.0678375318399267E-4</v>
      </c>
      <c r="Q23" s="3">
        <f t="shared" ref="O23:Q23" si="93">P23*180/PI()</f>
        <v>-3.476614813455061E-2</v>
      </c>
      <c r="R23" s="3">
        <f t="shared" si="44"/>
        <v>4.3577263474998407E-2</v>
      </c>
      <c r="S23" s="3">
        <f t="shared" ref="S23" si="94">R23*180/PI()</f>
        <v>2.4967932798470045</v>
      </c>
      <c r="T23" s="3">
        <f t="shared" si="44"/>
        <v>8.3111356488308002E-2</v>
      </c>
      <c r="U23" s="3">
        <f t="shared" ref="U23" si="95">T23*180/PI()</f>
        <v>4.761929956387279</v>
      </c>
      <c r="V23" s="3">
        <f t="shared" si="44"/>
        <v>0.11843967257699106</v>
      </c>
      <c r="W23" s="3">
        <f t="shared" ref="W23" si="96">V23*180/PI()</f>
        <v>6.7860933655729427</v>
      </c>
      <c r="X23" s="3">
        <f t="shared" si="44"/>
        <v>0.15000557135074324</v>
      </c>
      <c r="Y23" s="3">
        <f t="shared" ref="Y23" si="97">X23*180/PI()</f>
        <v>8.5946861418461236</v>
      </c>
      <c r="Z23" s="3">
        <f t="shared" si="44"/>
        <v>0.17823005589646271</v>
      </c>
      <c r="AA23" s="3">
        <f t="shared" ref="AA23" si="98">Z23*180/PI()</f>
        <v>10.211829985248064</v>
      </c>
      <c r="AB23" s="3">
        <f t="shared" si="37"/>
        <v>0.2035004702912421</v>
      </c>
      <c r="AC23" s="3">
        <f t="shared" ref="AC23" si="99">AB23*180/PI()</f>
        <v>11.659718076615567</v>
      </c>
      <c r="AD23" s="3">
        <f t="shared" si="1"/>
        <v>0.22616589436742784</v>
      </c>
      <c r="AE23" s="3">
        <f t="shared" ref="AE23:AG23" si="100">AD23*180/PI()</f>
        <v>12.958351217055212</v>
      </c>
      <c r="AF23" s="3">
        <f t="shared" si="1"/>
        <v>0.32242495171327856</v>
      </c>
      <c r="AG23" s="3">
        <f t="shared" si="100"/>
        <v>18.473588942880223</v>
      </c>
      <c r="AH23" s="3">
        <f t="shared" si="1"/>
        <v>0.40166352201793837</v>
      </c>
      <c r="AI23" s="3">
        <f t="shared" ref="AI23" si="101">AH23*180/PI()</f>
        <v>23.013624595987885</v>
      </c>
      <c r="AJ23" s="3">
        <f t="shared" si="1"/>
        <v>0.43941032060398122</v>
      </c>
      <c r="AK23" s="3">
        <f t="shared" ref="AK23" si="102">AJ23*180/PI()</f>
        <v>25.176356845098525</v>
      </c>
      <c r="AL23" s="3">
        <f t="shared" si="1"/>
        <v>0.49058142694428758</v>
      </c>
      <c r="AM23" s="3">
        <f t="shared" ref="AM23" si="103">AL23*180/PI()</f>
        <v>28.108245271413203</v>
      </c>
      <c r="AN23" s="3">
        <f t="shared" si="1"/>
        <v>0.50781480141595459</v>
      </c>
      <c r="AO23" s="3">
        <f t="shared" ref="AO23" si="104">AN23*180/PI()</f>
        <v>29.095644895408221</v>
      </c>
    </row>
    <row r="24" spans="2:41" ht="15.6" customHeight="1" x14ac:dyDescent="0.4">
      <c r="B24" s="9">
        <v>38</v>
      </c>
      <c r="C24" s="10">
        <f t="shared" si="0"/>
        <v>0.66322511575784515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>
        <f t="shared" si="44"/>
        <v>-1.2238996757207654E-2</v>
      </c>
      <c r="O24" s="3">
        <f t="shared" ref="O24:Q24" si="105">N24*180/PI()</f>
        <v>-0.70124285966229927</v>
      </c>
      <c r="P24" s="3">
        <f t="shared" si="44"/>
        <v>3.6198531985017574E-2</v>
      </c>
      <c r="Q24" s="3">
        <f t="shared" si="105"/>
        <v>2.0740231073108251</v>
      </c>
      <c r="R24" s="3">
        <f t="shared" si="44"/>
        <v>7.9597682993038127E-2</v>
      </c>
      <c r="S24" s="3">
        <f t="shared" ref="S24" si="106">R24*180/PI()</f>
        <v>4.5606112945213351</v>
      </c>
      <c r="T24" s="3">
        <f t="shared" si="44"/>
        <v>0.11838467862171552</v>
      </c>
      <c r="U24" s="3">
        <f t="shared" ref="U24" si="107">T24*180/PI()</f>
        <v>6.782942444036923</v>
      </c>
      <c r="V24" s="3">
        <f t="shared" si="44"/>
        <v>0.15301346835812865</v>
      </c>
      <c r="W24" s="3">
        <f t="shared" ref="W24" si="108">V24*180/PI()</f>
        <v>8.7670259455793378</v>
      </c>
      <c r="X24" s="3">
        <f t="shared" si="44"/>
        <v>0.18393176559207522</v>
      </c>
      <c r="Y24" s="3">
        <f t="shared" ref="Y24" si="109">X24*180/PI()</f>
        <v>10.538513886815483</v>
      </c>
      <c r="Z24" s="3">
        <f t="shared" si="44"/>
        <v>0.21156130059714995</v>
      </c>
      <c r="AA24" s="3">
        <f t="shared" ref="AA24" si="110">Z24*180/PI()</f>
        <v>12.121569632515236</v>
      </c>
      <c r="AB24" s="3">
        <f t="shared" si="37"/>
        <v>0.2362878700156843</v>
      </c>
      <c r="AC24" s="3">
        <f t="shared" ref="AC24" si="111">AB24*180/PI()</f>
        <v>13.538297702034502</v>
      </c>
      <c r="AD24" s="3">
        <f t="shared" si="1"/>
        <v>0.25845769074218378</v>
      </c>
      <c r="AE24" s="3">
        <f t="shared" ref="AE24:AG24" si="112">AD24*180/PI()</f>
        <v>14.80853486222458</v>
      </c>
      <c r="AF24" s="3">
        <f t="shared" si="1"/>
        <v>0.35255308997296242</v>
      </c>
      <c r="AG24" s="3">
        <f t="shared" si="112"/>
        <v>20.199804109746729</v>
      </c>
      <c r="AH24" s="3">
        <f t="shared" si="1"/>
        <v>0.42997918867732782</v>
      </c>
      <c r="AI24" s="3">
        <f t="shared" ref="AI24" si="113">AH24*180/PI()</f>
        <v>24.635992789670198</v>
      </c>
      <c r="AJ24" s="3">
        <f t="shared" si="1"/>
        <v>0.46686645670299048</v>
      </c>
      <c r="AK24" s="3">
        <f t="shared" ref="AK24" si="114">AJ24*180/PI()</f>
        <v>26.749477565308538</v>
      </c>
      <c r="AL24" s="3">
        <f t="shared" si="1"/>
        <v>0.51688756741100383</v>
      </c>
      <c r="AM24" s="3">
        <f t="shared" ref="AM24" si="115">AL24*180/PI()</f>
        <v>29.615476095434349</v>
      </c>
      <c r="AN24" s="3">
        <f t="shared" si="1"/>
        <v>0.53373940723156055</v>
      </c>
      <c r="AO24" s="3">
        <f t="shared" ref="AO24" si="116">AN24*180/PI()</f>
        <v>30.581015394182749</v>
      </c>
    </row>
    <row r="25" spans="2:41" ht="15.6" customHeight="1" x14ac:dyDescent="0.4">
      <c r="B25" s="9">
        <v>40</v>
      </c>
      <c r="C25" s="10">
        <f t="shared" si="0"/>
        <v>0.69813170079773179</v>
      </c>
      <c r="D25" s="3"/>
      <c r="E25" s="3"/>
      <c r="F25" s="3"/>
      <c r="G25" s="3"/>
      <c r="H25" s="3"/>
      <c r="I25" s="3"/>
      <c r="J25" s="3"/>
      <c r="K25" s="3"/>
      <c r="L25" s="3">
        <f t="shared" si="44"/>
        <v>-3.0255800740664893E-2</v>
      </c>
      <c r="M25" s="3">
        <f t="shared" ref="M25" si="117">L25*180/PI()</f>
        <v>-1.7335296882288886</v>
      </c>
      <c r="N25" s="3">
        <f t="shared" si="44"/>
        <v>2.282091346649074E-2</v>
      </c>
      <c r="O25" s="3">
        <f t="shared" ref="O25:Q25" si="118">N25*180/PI()</f>
        <v>1.3075420262631845</v>
      </c>
      <c r="P25" s="3">
        <f t="shared" si="44"/>
        <v>7.0530082120426302E-2</v>
      </c>
      <c r="Q25" s="3">
        <f t="shared" si="118"/>
        <v>4.0410760342115353</v>
      </c>
      <c r="R25" s="3">
        <f t="shared" si="44"/>
        <v>0.11323561719447586</v>
      </c>
      <c r="S25" s="3">
        <f t="shared" ref="S25" si="119">R25*180/PI()</f>
        <v>6.4879229558024827</v>
      </c>
      <c r="T25" s="3">
        <f t="shared" si="44"/>
        <v>0.15137425786972561</v>
      </c>
      <c r="U25" s="3">
        <f t="shared" ref="U25" si="120">T25*180/PI()</f>
        <v>8.673106102860265</v>
      </c>
      <c r="V25" s="3">
        <f t="shared" si="44"/>
        <v>0.18540474909716562</v>
      </c>
      <c r="W25" s="3">
        <f t="shared" ref="W25" si="121">V25*180/PI()</f>
        <v>10.62290962494955</v>
      </c>
      <c r="X25" s="3">
        <f t="shared" si="44"/>
        <v>0.21577572916606577</v>
      </c>
      <c r="Y25" s="3">
        <f t="shared" ref="Y25" si="122">X25*180/PI()</f>
        <v>12.363038602573472</v>
      </c>
      <c r="Z25" s="3">
        <f t="shared" si="44"/>
        <v>0.24290742186949946</v>
      </c>
      <c r="AA25" s="3">
        <f t="shared" ref="AA25" si="123">Z25*180/PI()</f>
        <v>13.917570085526112</v>
      </c>
      <c r="AB25" s="3">
        <f t="shared" si="37"/>
        <v>0.26718272069239934</v>
      </c>
      <c r="AC25" s="3">
        <f t="shared" ref="AC25" si="124">AB25*180/PI()</f>
        <v>15.308442254497171</v>
      </c>
      <c r="AD25" s="3">
        <f t="shared" si="1"/>
        <v>0.28894424419913844</v>
      </c>
      <c r="AE25" s="3">
        <f t="shared" ref="AE25:AG25" si="125">AD25*180/PI()</f>
        <v>16.55528570720805</v>
      </c>
      <c r="AF25" s="3">
        <f t="shared" si="1"/>
        <v>0.38128640127786423</v>
      </c>
      <c r="AG25" s="3">
        <f t="shared" si="125"/>
        <v>21.846101578953139</v>
      </c>
      <c r="AH25" s="3">
        <f t="shared" si="1"/>
        <v>0.45727627772626794</v>
      </c>
      <c r="AI25" s="3">
        <f t="shared" ref="AI25" si="126">AH25*180/PI()</f>
        <v>26.200000785167244</v>
      </c>
      <c r="AJ25" s="3">
        <f t="shared" si="1"/>
        <v>0.49349192708418377</v>
      </c>
      <c r="AK25" s="3">
        <f t="shared" ref="AK25" si="127">AJ25*180/PI()</f>
        <v>28.275004645701493</v>
      </c>
      <c r="AL25" s="3">
        <f t="shared" si="1"/>
        <v>0.54262376565939807</v>
      </c>
      <c r="AM25" s="3">
        <f t="shared" ref="AM25" si="128">AL25*180/PI()</f>
        <v>31.090051635779325</v>
      </c>
      <c r="AN25" s="3">
        <f t="shared" si="1"/>
        <v>0.55918293898628446</v>
      </c>
      <c r="AO25" s="3">
        <f t="shared" ref="AO25" si="129">AN25*180/PI()</f>
        <v>32.038822379635519</v>
      </c>
    </row>
    <row r="26" spans="2:41" ht="15.6" customHeight="1" x14ac:dyDescent="0.4">
      <c r="B26" s="9">
        <v>42</v>
      </c>
      <c r="C26" s="10">
        <f t="shared" si="0"/>
        <v>0.73303828583761843</v>
      </c>
      <c r="D26" s="3"/>
      <c r="E26" s="3"/>
      <c r="F26" s="3"/>
      <c r="G26" s="3"/>
      <c r="H26" s="3"/>
      <c r="I26" s="3"/>
      <c r="J26" s="3"/>
      <c r="K26" s="3"/>
      <c r="L26" s="3">
        <f t="shared" si="44"/>
        <v>3.0545229950340062E-3</v>
      </c>
      <c r="M26" s="3">
        <f t="shared" ref="M26" si="130">L26*180/PI()</f>
        <v>0.17501127604110828</v>
      </c>
      <c r="N26" s="3">
        <f t="shared" si="44"/>
        <v>5.5441011024617827E-2</v>
      </c>
      <c r="O26" s="3">
        <f t="shared" ref="O26:Q26" si="131">N26*180/PI()</f>
        <v>3.1765359436488692</v>
      </c>
      <c r="P26" s="3">
        <f t="shared" si="44"/>
        <v>0.10249625186360288</v>
      </c>
      <c r="Q26" s="3">
        <f t="shared" si="131"/>
        <v>5.8726026476943431</v>
      </c>
      <c r="R26" s="3">
        <f t="shared" si="44"/>
        <v>0.14459450516488856</v>
      </c>
      <c r="S26" s="3">
        <f t="shared" ref="S26" si="132">R26*180/PI()</f>
        <v>8.2846548867306975</v>
      </c>
      <c r="T26" s="3">
        <f t="shared" si="44"/>
        <v>0.18217696950072187</v>
      </c>
      <c r="U26" s="3">
        <f t="shared" ref="U26" si="133">T26*180/PI()</f>
        <v>10.437971476874884</v>
      </c>
      <c r="V26" s="3">
        <f t="shared" si="44"/>
        <v>0.21570285546704662</v>
      </c>
      <c r="W26" s="3">
        <f t="shared" ref="W26" si="134">V26*180/PI()</f>
        <v>12.358863247182168</v>
      </c>
      <c r="X26" s="3">
        <f t="shared" si="44"/>
        <v>0.24561879145788615</v>
      </c>
      <c r="Y26" s="3">
        <f t="shared" ref="Y26" si="135">X26*180/PI()</f>
        <v>14.072920119640793</v>
      </c>
      <c r="Z26" s="3">
        <f t="shared" si="44"/>
        <v>0.27234161728274625</v>
      </c>
      <c r="AA26" s="3">
        <f t="shared" ref="AA26" si="136">Z26*180/PI()</f>
        <v>15.604025256068478</v>
      </c>
      <c r="AB26" s="3">
        <f t="shared" si="37"/>
        <v>0.29625021119664102</v>
      </c>
      <c r="AC26" s="3">
        <f t="shared" ref="AC26" si="137">AB26*180/PI()</f>
        <v>16.973886781426817</v>
      </c>
      <c r="AD26" s="3">
        <f t="shared" si="1"/>
        <v>0.31768301559125578</v>
      </c>
      <c r="AE26" s="3">
        <f t="shared" ref="AE26:AG26" si="138">AD26*180/PI()</f>
        <v>18.201896016367684</v>
      </c>
      <c r="AF26" s="3">
        <f t="shared" si="1"/>
        <v>0.40864474820727392</v>
      </c>
      <c r="AG26" s="3">
        <f t="shared" si="138"/>
        <v>23.413619392463008</v>
      </c>
      <c r="AH26" s="3">
        <f t="shared" si="1"/>
        <v>0.48353979102279965</v>
      </c>
      <c r="AI26" s="3">
        <f t="shared" ref="AI26" si="139">AH26*180/PI()</f>
        <v>27.704789252244233</v>
      </c>
      <c r="AJ26" s="3">
        <f t="shared" si="1"/>
        <v>0.51925460709656768</v>
      </c>
      <c r="AK26" s="3">
        <f t="shared" ref="AK26" si="140">AJ26*180/PI()</f>
        <v>29.751097479357135</v>
      </c>
      <c r="AL26" s="3">
        <f t="shared" si="1"/>
        <v>0.56773476827091618</v>
      </c>
      <c r="AM26" s="3">
        <f t="shared" ref="AM26" si="141">AL26*180/PI()</f>
        <v>32.528806104761301</v>
      </c>
      <c r="AN26" s="3">
        <f t="shared" si="1"/>
        <v>0.58408247982367179</v>
      </c>
      <c r="AO26" s="3">
        <f t="shared" ref="AO26" si="142">AN26*180/PI()</f>
        <v>33.465460981431455</v>
      </c>
    </row>
    <row r="27" spans="2:41" ht="15.6" customHeight="1" x14ac:dyDescent="0.4">
      <c r="B27" s="9">
        <v>44</v>
      </c>
      <c r="C27" s="10">
        <f t="shared" si="0"/>
        <v>0.76794487087750496</v>
      </c>
      <c r="D27" s="3"/>
      <c r="E27" s="3"/>
      <c r="F27" s="3"/>
      <c r="G27" s="3"/>
      <c r="H27" s="3"/>
      <c r="I27" s="3"/>
      <c r="J27" s="3">
        <f t="shared" si="44"/>
        <v>-2.3321873385068369E-2</v>
      </c>
      <c r="K27" s="3">
        <f t="shared" ref="K27" si="143">J27*180/PI()</f>
        <v>-1.3362449153029001</v>
      </c>
      <c r="L27" s="3">
        <f t="shared" si="44"/>
        <v>3.3948494156660569E-2</v>
      </c>
      <c r="M27" s="3">
        <f t="shared" ref="M27" si="144">L27*180/PI()</f>
        <v>1.9451054360011877</v>
      </c>
      <c r="N27" s="3">
        <f t="shared" si="44"/>
        <v>8.5696605811363E-2</v>
      </c>
      <c r="O27" s="3">
        <f t="shared" ref="O27:Q27" si="145">N27*180/PI()</f>
        <v>4.9100538315873834</v>
      </c>
      <c r="P27" s="3">
        <f t="shared" si="44"/>
        <v>0.1321675040854903</v>
      </c>
      <c r="Q27" s="3">
        <f t="shared" si="145"/>
        <v>7.5726401728766604</v>
      </c>
      <c r="R27" s="3">
        <f t="shared" si="44"/>
        <v>0.1737385152011775</v>
      </c>
      <c r="S27" s="3">
        <f t="shared" ref="S27" si="146">R27*180/PI()</f>
        <v>9.954483659896967</v>
      </c>
      <c r="T27" s="3">
        <f t="shared" si="44"/>
        <v>0.21084984490059361</v>
      </c>
      <c r="U27" s="3">
        <f t="shared" ref="U27" si="147">T27*180/PI()</f>
        <v>12.080806223792015</v>
      </c>
      <c r="V27" s="3">
        <f t="shared" si="44"/>
        <v>0.24395730503737834</v>
      </c>
      <c r="W27" s="3">
        <f t="shared" ref="W27" si="148">V27*180/PI()</f>
        <v>13.977723960027395</v>
      </c>
      <c r="X27" s="3">
        <f t="shared" si="44"/>
        <v>0.27350291286381589</v>
      </c>
      <c r="Y27" s="3">
        <f t="shared" ref="Y27" si="149">X27*180/PI()</f>
        <v>15.670562591630963</v>
      </c>
      <c r="Z27" s="3">
        <f t="shared" si="44"/>
        <v>0.29989847086877586</v>
      </c>
      <c r="AA27" s="3">
        <f t="shared" ref="AA27" si="150">Z27*180/PI()</f>
        <v>17.182916663207923</v>
      </c>
      <c r="AB27" s="3">
        <f t="shared" si="37"/>
        <v>0.32351787033681767</v>
      </c>
      <c r="AC27" s="3">
        <f t="shared" ref="AC27" si="151">AB27*180/PI()</f>
        <v>18.536208567360262</v>
      </c>
      <c r="AD27" s="3">
        <f t="shared" si="1"/>
        <v>0.34469487918713121</v>
      </c>
      <c r="AE27" s="3">
        <f t="shared" ref="AE27:AG27" si="152">AD27*180/PI()</f>
        <v>19.749561797194421</v>
      </c>
      <c r="AF27" s="3">
        <f t="shared" si="1"/>
        <v>0.43461810660342426</v>
      </c>
      <c r="AG27" s="3">
        <f t="shared" si="152"/>
        <v>24.901783208343105</v>
      </c>
      <c r="AH27" s="3">
        <f t="shared" si="1"/>
        <v>0.5087325566076043</v>
      </c>
      <c r="AI27" s="3">
        <f t="shared" ref="AI27" si="153">AH27*180/PI()</f>
        <v>29.148228394515968</v>
      </c>
      <c r="AJ27" s="3">
        <f t="shared" si="1"/>
        <v>0.54410439192950999</v>
      </c>
      <c r="AK27" s="3">
        <f t="shared" ref="AK27" si="154">AJ27*180/PI()</f>
        <v>31.174885272092933</v>
      </c>
      <c r="AL27" s="3">
        <f t="shared" si="1"/>
        <v>0.59215339024576952</v>
      </c>
      <c r="AM27" s="3">
        <f t="shared" ref="AM27" si="155">AL27*180/PI()</f>
        <v>33.927890085445803</v>
      </c>
      <c r="AN27" s="3">
        <f t="shared" si="1"/>
        <v>0.60836528262795986</v>
      </c>
      <c r="AO27" s="3">
        <f t="shared" ref="AO27" si="156">AN27*180/PI()</f>
        <v>34.856763096865599</v>
      </c>
    </row>
    <row r="28" spans="2:41" ht="15.6" customHeight="1" x14ac:dyDescent="0.4">
      <c r="B28" s="9">
        <v>46</v>
      </c>
      <c r="C28" s="10">
        <f t="shared" si="0"/>
        <v>0.80285145591739149</v>
      </c>
      <c r="D28" s="3"/>
      <c r="E28" s="3"/>
      <c r="F28" s="3"/>
      <c r="G28" s="3"/>
      <c r="H28" s="3"/>
      <c r="I28" s="3"/>
      <c r="J28" s="3">
        <f t="shared" si="44"/>
        <v>5.8662362886402952E-3</v>
      </c>
      <c r="K28" s="3">
        <f t="shared" ref="K28" si="157">J28*180/PI()</f>
        <v>0.33611058096557672</v>
      </c>
      <c r="L28" s="3">
        <f t="shared" si="44"/>
        <v>6.247469997651945E-2</v>
      </c>
      <c r="M28" s="3">
        <f t="shared" ref="M28" si="158">L28*180/PI()</f>
        <v>3.5795366350006277</v>
      </c>
      <c r="N28" s="3">
        <f t="shared" si="44"/>
        <v>0.11363070395961254</v>
      </c>
      <c r="O28" s="3">
        <f t="shared" ref="O28:Q28" si="159">N28*180/PI()</f>
        <v>6.5105597599862914</v>
      </c>
      <c r="P28" s="3">
        <f t="shared" si="44"/>
        <v>0.15958003189875206</v>
      </c>
      <c r="Q28" s="3">
        <f t="shared" si="159"/>
        <v>9.1432623223615419</v>
      </c>
      <c r="R28" s="3">
        <f t="shared" si="44"/>
        <v>0.2006963798241154</v>
      </c>
      <c r="S28" s="3">
        <f t="shared" ref="S28" si="160">R28*180/PI()</f>
        <v>11.49905552747634</v>
      </c>
      <c r="T28" s="3">
        <f t="shared" si="44"/>
        <v>0.23741395500716916</v>
      </c>
      <c r="U28" s="3">
        <f t="shared" ref="U28" si="161">T28*180/PI()</f>
        <v>13.602817619419611</v>
      </c>
      <c r="V28" s="3">
        <f t="shared" si="44"/>
        <v>0.27018161872311347</v>
      </c>
      <c r="W28" s="3">
        <f t="shared" ref="W28" si="162">V28*180/PI()</f>
        <v>15.480266454847184</v>
      </c>
      <c r="X28" s="3">
        <f t="shared" si="44"/>
        <v>0.29943437677522705</v>
      </c>
      <c r="Y28" s="3">
        <f t="shared" ref="Y28" si="163">X28*180/PI()</f>
        <v>17.156326030350627</v>
      </c>
      <c r="Z28" s="3">
        <f t="shared" si="44"/>
        <v>0.32557745737498522</v>
      </c>
      <c r="AA28" s="3">
        <f t="shared" ref="AA28" si="164">Z28*180/PI()</f>
        <v>18.654214212187114</v>
      </c>
      <c r="AB28" s="3">
        <f t="shared" si="37"/>
        <v>0.34897884960421088</v>
      </c>
      <c r="AC28" s="3">
        <f t="shared" ref="AC28" si="165">AB28*180/PI()</f>
        <v>19.995015221651983</v>
      </c>
      <c r="AD28" s="3">
        <f t="shared" si="1"/>
        <v>0.36996716504441113</v>
      </c>
      <c r="AE28" s="3">
        <f t="shared" ref="AE28:AG28" si="166">AD28*180/PI()</f>
        <v>21.197557115464718</v>
      </c>
      <c r="AF28" s="3">
        <f t="shared" si="1"/>
        <v>0.45916819540208598</v>
      </c>
      <c r="AG28" s="3">
        <f t="shared" si="166"/>
        <v>26.308399683177818</v>
      </c>
      <c r="AH28" s="3">
        <f t="shared" si="1"/>
        <v>0.53279534412112906</v>
      </c>
      <c r="AI28" s="3">
        <f t="shared" ref="AI28" si="167">AH28*180/PI()</f>
        <v>30.526924562361035</v>
      </c>
      <c r="AJ28" s="3">
        <f t="shared" si="1"/>
        <v>0.56797253410152515</v>
      </c>
      <c r="AK28" s="3">
        <f t="shared" ref="AK28" si="168">AJ28*180/PI()</f>
        <v>32.542429083367615</v>
      </c>
      <c r="AL28" s="3">
        <f t="shared" si="1"/>
        <v>0.61579879183745512</v>
      </c>
      <c r="AM28" s="3">
        <f t="shared" ref="AM28" si="169">AL28*180/PI()</f>
        <v>35.282671801541305</v>
      </c>
      <c r="AN28" s="3">
        <f t="shared" si="1"/>
        <v>0.63194669690989003</v>
      </c>
      <c r="AO28" s="3">
        <f t="shared" ref="AO28" si="170">AN28*180/PI()</f>
        <v>36.207878610169722</v>
      </c>
    </row>
    <row r="29" spans="2:41" ht="15.6" customHeight="1" x14ac:dyDescent="0.4">
      <c r="B29" s="9">
        <v>48</v>
      </c>
      <c r="C29" s="10">
        <f t="shared" si="0"/>
        <v>0.83775804095727813</v>
      </c>
      <c r="D29" s="3"/>
      <c r="E29" s="3"/>
      <c r="F29" s="3"/>
      <c r="G29" s="3"/>
      <c r="H29" s="3"/>
      <c r="I29" s="3"/>
      <c r="J29" s="3">
        <f t="shared" si="44"/>
        <v>3.2693956241229429E-2</v>
      </c>
      <c r="K29" s="3">
        <f t="shared" ref="K29" si="171">J29*180/PI()</f>
        <v>1.873225708207843</v>
      </c>
      <c r="L29" s="3">
        <f t="shared" si="44"/>
        <v>8.8654688979555099E-2</v>
      </c>
      <c r="M29" s="3">
        <f t="shared" ref="M29" si="172">L29*180/PI()</f>
        <v>5.0795395125734784</v>
      </c>
      <c r="N29" s="3">
        <f t="shared" si="44"/>
        <v>0.13925661443026574</v>
      </c>
      <c r="O29" s="3">
        <f t="shared" ref="O29:Q29" si="173">N29*180/PI()</f>
        <v>7.9788162761348236</v>
      </c>
      <c r="P29" s="3">
        <f t="shared" si="44"/>
        <v>0.18473847190597378</v>
      </c>
      <c r="Q29" s="3">
        <f t="shared" si="173"/>
        <v>10.584734753908426</v>
      </c>
      <c r="R29" s="3">
        <f t="shared" si="44"/>
        <v>0.22546409930580974</v>
      </c>
      <c r="S29" s="3">
        <f t="shared" ref="S29" si="174">R29*180/PI()</f>
        <v>12.918141321941373</v>
      </c>
      <c r="T29" s="3">
        <f t="shared" si="44"/>
        <v>0.26185701337242567</v>
      </c>
      <c r="U29" s="3">
        <f t="shared" ref="U29" si="175">T29*180/PI()</f>
        <v>15.003301702140751</v>
      </c>
      <c r="V29" s="3">
        <f t="shared" si="44"/>
        <v>0.29435575839078904</v>
      </c>
      <c r="W29" s="3">
        <f t="shared" ref="W29" si="176">V29*180/PI()</f>
        <v>16.865342631164783</v>
      </c>
      <c r="X29" s="3">
        <f t="shared" si="44"/>
        <v>0.32338601917938115</v>
      </c>
      <c r="Y29" s="3">
        <f t="shared" ref="Y29" si="177">X29*180/PI()</f>
        <v>18.528654052515233</v>
      </c>
      <c r="Z29" s="3">
        <f t="shared" si="44"/>
        <v>0.34934493922411847</v>
      </c>
      <c r="AA29" s="3">
        <f t="shared" ref="AA29" si="178">Z29*180/PI()</f>
        <v>20.015990611796237</v>
      </c>
      <c r="AB29" s="3">
        <f t="shared" si="37"/>
        <v>0.37259367628887169</v>
      </c>
      <c r="AC29" s="3">
        <f t="shared" ref="AC29" si="179">AB29*180/PI()</f>
        <v>21.348045124615965</v>
      </c>
      <c r="AD29" s="3">
        <f t="shared" si="1"/>
        <v>0.39345516664961649</v>
      </c>
      <c r="AE29" s="3">
        <f t="shared" ref="AE29:AG29" si="180">AD29*180/PI()</f>
        <v>22.54332047663949</v>
      </c>
      <c r="AF29" s="3">
        <f t="shared" si="1"/>
        <v>0.48222871009660423</v>
      </c>
      <c r="AG29" s="3">
        <f t="shared" si="180"/>
        <v>27.62966984857313</v>
      </c>
      <c r="AH29" s="3">
        <f t="shared" si="1"/>
        <v>0.55564587775221375</v>
      </c>
      <c r="AI29" s="3">
        <f t="shared" ref="AI29" si="181">AH29*180/PI()</f>
        <v>31.836163699043933</v>
      </c>
      <c r="AJ29" s="3">
        <f t="shared" si="1"/>
        <v>0.5907700646296461</v>
      </c>
      <c r="AK29" s="3">
        <f t="shared" ref="AK29" si="182">AJ29*180/PI()</f>
        <v>33.848631365949601</v>
      </c>
      <c r="AL29" s="3">
        <f t="shared" si="1"/>
        <v>0.63857412564592131</v>
      </c>
      <c r="AM29" s="3">
        <f t="shared" ref="AM29" si="183">AL29*180/PI()</f>
        <v>36.587602305768037</v>
      </c>
      <c r="AN29" s="3">
        <f t="shared" si="1"/>
        <v>0.65472756882383454</v>
      </c>
      <c r="AO29" s="3">
        <f t="shared" ref="AO29" si="184">AN29*180/PI()</f>
        <v>37.513126424466854</v>
      </c>
    </row>
    <row r="30" spans="2:41" ht="15.6" customHeight="1" x14ac:dyDescent="0.4">
      <c r="B30" s="9">
        <v>50</v>
      </c>
      <c r="C30" s="10">
        <f t="shared" si="0"/>
        <v>0.87266462599716477</v>
      </c>
      <c r="D30" s="3"/>
      <c r="E30" s="3"/>
      <c r="F30" s="3"/>
      <c r="G30" s="3"/>
      <c r="H30" s="3">
        <f>ATAN(_xlfn.COT($C30)*((H$3^2*(SIN($C30))^2-1)/(1+(((1.4+1)/(2))-(SIN($C30))^2)*H$3^2)))</f>
        <v>-3.4067497323800305E-3</v>
      </c>
      <c r="I30" s="3">
        <f t="shared" ref="I30:I50" si="185">H30*180/PI()</f>
        <v>-0.19519238152269844</v>
      </c>
      <c r="J30" s="3">
        <f>ATAN(_xlfn.COT($C30)*((J$3^2*(SIN($C30))^2-1)/(1+(((1.4+1)/(2))-(SIN($C30))^2)*J$3^2)))</f>
        <v>5.7168335756523858E-2</v>
      </c>
      <c r="K30" s="3">
        <f t="shared" ref="K30:K50" si="186">J30*180/PI()</f>
        <v>3.2755043606356513</v>
      </c>
      <c r="L30" s="3">
        <f>ATAN(_xlfn.COT($C30)*((L$3^2*(SIN($C30))^2-1)/(1+(((1.4+1)/(2))-(SIN($C30))^2)*L$3^2)))</f>
        <v>0.1124849748664177</v>
      </c>
      <c r="M30" s="3">
        <f t="shared" ref="M30:M50" si="187">L30*180/PI()</f>
        <v>6.4449143184808761</v>
      </c>
      <c r="N30" s="3">
        <f>ATAN(_xlfn.COT($C30)*((N$3^2*(SIN($C30))^2-1)/(1+(((1.4+1)/(2))-(SIN($C30))^2)*N$3^2)))</f>
        <v>0.16255998368225363</v>
      </c>
      <c r="O30" s="3">
        <f t="shared" ref="O30:Q50" si="188">N30*180/PI()</f>
        <v>9.3140009827086647</v>
      </c>
      <c r="P30" s="3">
        <f>ATAN(_xlfn.COT($C30)*((P$3^2*(SIN($C30))^2-1)/(1+(((1.4+1)/(2))-(SIN($C30))^2)*P$3^2)))</f>
        <v>0.20761785718621478</v>
      </c>
      <c r="Q30" s="3">
        <f t="shared" si="188"/>
        <v>11.895626968319977</v>
      </c>
      <c r="R30" s="3">
        <f>ATAN(_xlfn.COT($C30)*((R$3^2*(SIN($C30))^2-1)/(1+(((1.4+1)/(2))-(SIN($C30))^2)*R$3^2)))</f>
        <v>0.24800672716558864</v>
      </c>
      <c r="S30" s="3">
        <f t="shared" ref="S30" si="189">R30*180/PI()</f>
        <v>14.20973875744073</v>
      </c>
      <c r="T30" s="3">
        <f>ATAN(_xlfn.COT($C30)*((T$3^2*(SIN($C30))^2-1)/(1+(((1.4+1)/(2))-(SIN($C30))^2)*T$3^2)))</f>
        <v>0.28413493562330278</v>
      </c>
      <c r="U30" s="3">
        <f t="shared" ref="U30" si="190">T30*180/PI()</f>
        <v>16.279732623436594</v>
      </c>
      <c r="V30" s="3">
        <f>ATAN(_xlfn.COT($C30)*((V$3^2*(SIN($C30))^2-1)/(1+(((1.4+1)/(2))-(SIN($C30))^2)*V$3^2)))</f>
        <v>0.31642742540061397</v>
      </c>
      <c r="W30" s="3">
        <f t="shared" ref="W30" si="191">V30*180/PI()</f>
        <v>18.129955997645883</v>
      </c>
      <c r="X30" s="3">
        <f>ATAN(_xlfn.COT($C30)*((X$3^2*(SIN($C30))^2-1)/(1+(((1.4+1)/(2))-(SIN($C30))^2)*X$3^2)))</f>
        <v>0.34529824993170455</v>
      </c>
      <c r="Y30" s="3">
        <f t="shared" ref="Y30" si="192">X30*180/PI()</f>
        <v>19.784132394340137</v>
      </c>
      <c r="Z30" s="3">
        <f>ATAN(_xlfn.COT($C30)*((Z$3^2*(SIN($C30))^2-1)/(1+(((1.4+1)/(2))-(SIN($C30))^2)*Z$3^2)))</f>
        <v>0.37113490761382817</v>
      </c>
      <c r="AA30" s="3">
        <f t="shared" ref="AA30" si="193">Z30*180/PI()</f>
        <v>21.264463836250076</v>
      </c>
      <c r="AB30" s="3">
        <f>ATAN(_xlfn.COT($C30)*((AB$3^2*(SIN($C30))^2-1)/(1+(((1.4+1)/(2))-(SIN($C30))^2)*AB$3^2)))</f>
        <v>0.39429072062735881</v>
      </c>
      <c r="AC30" s="3">
        <f t="shared" ref="AC30" si="194">AB30*180/PI()</f>
        <v>22.591194193119492</v>
      </c>
      <c r="AD30" s="3">
        <f>ATAN(_xlfn.COT($C30)*((AD$3^2*(SIN($C30))^2-1)/(1+(((1.4+1)/(2))-(SIN($C30))^2)*AD$3^2)))</f>
        <v>0.41508234609323724</v>
      </c>
      <c r="AE30" s="3">
        <f t="shared" ref="AE30:AG30" si="195">AD30*180/PI()</f>
        <v>23.782466581531047</v>
      </c>
      <c r="AF30" s="3">
        <f>ATAN(_xlfn.COT($C30)*((AF$3^2*(SIN($C30))^2-1)/(1+(((1.4+1)/(2))-(SIN($C30))^2)*AF$3^2)))</f>
        <v>0.50370429923096194</v>
      </c>
      <c r="AG30" s="3">
        <f t="shared" si="195"/>
        <v>28.860130468528837</v>
      </c>
      <c r="AH30" s="3">
        <f>ATAN(_xlfn.COT($C30)*((AH$3^2*(SIN($C30))^2-1)/(1+(((1.4+1)/(2))-(SIN($C30))^2)*AH$3^2)))</f>
        <v>0.57717676702438192</v>
      </c>
      <c r="AI30" s="3">
        <f t="shared" ref="AI30" si="196">AH30*180/PI()</f>
        <v>33.06979278350267</v>
      </c>
      <c r="AJ30" s="3">
        <f>ATAN(_xlfn.COT($C30)*((AJ$3^2*(SIN($C30))^2-1)/(1+(((1.4+1)/(2))-(SIN($C30))^2)*AJ$3^2)))</f>
        <v>0.61238525417451484</v>
      </c>
      <c r="AK30" s="3">
        <f t="shared" ref="AK30" si="197">AJ30*180/PI()</f>
        <v>35.087090500245878</v>
      </c>
      <c r="AL30" s="3">
        <f>ATAN(_xlfn.COT($C30)*((AL$3^2*(SIN($C30))^2-1)/(1+(((1.4+1)/(2))-(SIN($C30))^2)*AL$3^2)))</f>
        <v>0.66036342254570313</v>
      </c>
      <c r="AM30" s="3">
        <f t="shared" ref="AM30" si="198">AL30*180/PI()</f>
        <v>37.836037056683018</v>
      </c>
      <c r="AN30" s="3">
        <f>ATAN(_xlfn.COT($C30)*((AN$3^2*(SIN($C30))^2-1)/(1+(((1.4+1)/(2))-(SIN($C30))^2)*AN$3^2)))</f>
        <v>0.67659095424863602</v>
      </c>
      <c r="AO30" s="3">
        <f t="shared" ref="AO30" si="199">AN30*180/PI()</f>
        <v>38.765806135175815</v>
      </c>
    </row>
    <row r="31" spans="2:41" ht="15.6" customHeight="1" x14ac:dyDescent="0.4">
      <c r="B31" s="9">
        <v>52</v>
      </c>
      <c r="C31" s="10">
        <f t="shared" si="0"/>
        <v>0.90757121103705141</v>
      </c>
      <c r="D31" s="3"/>
      <c r="E31" s="3"/>
      <c r="F31" s="3"/>
      <c r="G31" s="3"/>
      <c r="H31" s="3">
        <f t="shared" ref="H31:H50" si="200">ATAN(_xlfn.COT($C31)*((H$3^2*(SIN($C31))^2-1)/(1+(((1.4+1)/(2))-(SIN($C31))^2)*H$3^2)))</f>
        <v>1.9513711307431392E-2</v>
      </c>
      <c r="I31" s="3">
        <f t="shared" si="185"/>
        <v>1.1180533005525304</v>
      </c>
      <c r="J31" s="3">
        <f t="shared" ref="J31:J50" si="201">ATAN(_xlfn.COT($C31)*((J$3^2*(SIN($C31))^2-1)/(1+(((1.4+1)/(2))-(SIN($C31))^2)*J$3^2)))</f>
        <v>7.9276508220979119E-2</v>
      </c>
      <c r="K31" s="3">
        <f t="shared" si="186"/>
        <v>4.5422093355962785</v>
      </c>
      <c r="L31" s="3">
        <f t="shared" ref="L31:L50" si="202">ATAN(_xlfn.COT($C31)*((L$3^2*(SIN($C31))^2-1)/(1+(((1.4+1)/(2))-(SIN($C31))^2)*L$3^2)))</f>
        <v>0.13393878572159829</v>
      </c>
      <c r="M31" s="3">
        <f t="shared" si="187"/>
        <v>7.6741271349546745</v>
      </c>
      <c r="N31" s="3">
        <f t="shared" ref="N31:AL50" si="203">ATAN(_xlfn.COT($C31)*((N$3^2*(SIN($C31))^2-1)/(1+(((1.4+1)/(2))-(SIN($C31))^2)*N$3^2)))</f>
        <v>0.18350040073871607</v>
      </c>
      <c r="O31" s="3">
        <f t="shared" si="188"/>
        <v>10.513798501287724</v>
      </c>
      <c r="P31" s="3">
        <f t="shared" si="203"/>
        <v>0.22816497947610417</v>
      </c>
      <c r="Q31" s="3">
        <f t="shared" si="188"/>
        <v>13.072890356669818</v>
      </c>
      <c r="R31" s="3">
        <f t="shared" si="203"/>
        <v>0.26825942394041391</v>
      </c>
      <c r="S31" s="3">
        <f t="shared" ref="S31" si="204">R31*180/PI()</f>
        <v>15.370132806396432</v>
      </c>
      <c r="T31" s="3">
        <f t="shared" si="203"/>
        <v>0.30417254877258376</v>
      </c>
      <c r="U31" s="3">
        <f t="shared" ref="U31" si="205">T31*180/PI()</f>
        <v>17.427803288406238</v>
      </c>
      <c r="V31" s="3">
        <f t="shared" si="203"/>
        <v>0.33631241250455179</v>
      </c>
      <c r="W31" s="3">
        <f t="shared" ref="W31" si="206">V31*180/PI()</f>
        <v>19.26928183437359</v>
      </c>
      <c r="X31" s="3">
        <f t="shared" si="203"/>
        <v>0.36507905075354652</v>
      </c>
      <c r="Y31" s="3">
        <f t="shared" ref="Y31" si="207">X31*180/PI()</f>
        <v>20.917488796820592</v>
      </c>
      <c r="Z31" s="3">
        <f t="shared" si="203"/>
        <v>0.39084864088368287</v>
      </c>
      <c r="AA31" s="3">
        <f t="shared" ref="AA31" si="208">Z31*180/PI()</f>
        <v>22.393977551059386</v>
      </c>
      <c r="AB31" s="3">
        <f t="shared" si="203"/>
        <v>0.41396553514755818</v>
      </c>
      <c r="AC31" s="3">
        <f t="shared" ref="AC31" si="209">AB31*180/PI()</f>
        <v>23.718478027829622</v>
      </c>
      <c r="AD31" s="3">
        <f t="shared" si="203"/>
        <v>0.43473937816327074</v>
      </c>
      <c r="AE31" s="3">
        <f t="shared" ref="AE31:AG31" si="210">AD31*180/PI()</f>
        <v>24.908731556897276</v>
      </c>
      <c r="AF31" s="3">
        <f t="shared" si="203"/>
        <v>0.52346832298061619</v>
      </c>
      <c r="AG31" s="3">
        <f t="shared" si="210"/>
        <v>29.992525615580348</v>
      </c>
      <c r="AH31" s="3">
        <f t="shared" si="203"/>
        <v>0.59725228518834628</v>
      </c>
      <c r="AI31" s="3">
        <f t="shared" ref="AI31" si="211">AH31*180/PI()</f>
        <v>34.220035245836051</v>
      </c>
      <c r="AJ31" s="3">
        <f t="shared" si="203"/>
        <v>0.63267998976560103</v>
      </c>
      <c r="AK31" s="3">
        <f t="shared" ref="AK31" si="212">AJ31*180/PI()</f>
        <v>36.249893195949056</v>
      </c>
      <c r="AL31" s="3">
        <f t="shared" si="203"/>
        <v>0.6810275220305978</v>
      </c>
      <c r="AM31" s="3">
        <f t="shared" ref="AM31" si="213">AL31*180/PI()</f>
        <v>39.020002744605947</v>
      </c>
      <c r="AN31" s="3">
        <f t="shared" ref="AN31:AN50" si="214">ATAN(_xlfn.COT($C31)*((AN$3^2*(SIN($C31))^2-1)/(1+(((1.4+1)/(2))-(SIN($C31))^2)*AN$3^2)))</f>
        <v>0.69739792873832351</v>
      </c>
      <c r="AO31" s="3">
        <f t="shared" ref="AO31" si="215">AN31*180/PI()</f>
        <v>39.95795795787128</v>
      </c>
    </row>
    <row r="32" spans="2:41" ht="15.6" customHeight="1" x14ac:dyDescent="0.4">
      <c r="B32" s="9">
        <v>54</v>
      </c>
      <c r="C32" s="10">
        <f t="shared" si="0"/>
        <v>0.94247779607693793</v>
      </c>
      <c r="D32" s="3"/>
      <c r="E32" s="3"/>
      <c r="F32" s="3"/>
      <c r="G32" s="3"/>
      <c r="H32" s="3">
        <f t="shared" si="200"/>
        <v>4.0095573775220487E-2</v>
      </c>
      <c r="I32" s="3">
        <f t="shared" si="185"/>
        <v>2.297307154475559</v>
      </c>
      <c r="J32" s="3">
        <f t="shared" si="201"/>
        <v>9.8987469659671534E-2</v>
      </c>
      <c r="K32" s="3">
        <f t="shared" si="186"/>
        <v>5.6715642361784662</v>
      </c>
      <c r="L32" s="3">
        <f t="shared" si="202"/>
        <v>0.1529676871604824</v>
      </c>
      <c r="M32" s="3">
        <f t="shared" si="187"/>
        <v>8.7644028761731523</v>
      </c>
      <c r="N32" s="3">
        <f t="shared" si="203"/>
        <v>0.20201272823414557</v>
      </c>
      <c r="O32" s="3">
        <f t="shared" si="188"/>
        <v>11.574476735739823</v>
      </c>
      <c r="P32" s="3">
        <f t="shared" si="203"/>
        <v>0.24629933209536159</v>
      </c>
      <c r="Q32" s="3">
        <f t="shared" si="188"/>
        <v>14.111912225955278</v>
      </c>
      <c r="R32" s="3">
        <f t="shared" si="203"/>
        <v>0.28612795587218326</v>
      </c>
      <c r="S32" s="3">
        <f t="shared" ref="S32" si="216">R32*180/PI()</f>
        <v>16.393924272181561</v>
      </c>
      <c r="T32" s="3">
        <f t="shared" si="203"/>
        <v>0.32186362275346231</v>
      </c>
      <c r="U32" s="3">
        <f t="shared" ref="U32" si="217">T32*180/PI()</f>
        <v>18.441427162564281</v>
      </c>
      <c r="V32" s="3">
        <f t="shared" si="203"/>
        <v>0.35389416992478606</v>
      </c>
      <c r="W32" s="3">
        <f t="shared" ref="W32" si="218">V32*180/PI()</f>
        <v>20.276642330975832</v>
      </c>
      <c r="X32" s="3">
        <f t="shared" si="203"/>
        <v>0.38260309405772314</v>
      </c>
      <c r="Y32" s="3">
        <f t="shared" ref="Y32" si="219">X32*180/PI()</f>
        <v>21.921542518154403</v>
      </c>
      <c r="Z32" s="3">
        <f t="shared" si="203"/>
        <v>0.40835340420501576</v>
      </c>
      <c r="AA32" s="3">
        <f t="shared" ref="AA32" si="220">Z32*180/PI()</f>
        <v>23.396926610747169</v>
      </c>
      <c r="AB32" s="3">
        <f t="shared" si="203"/>
        <v>0.43147916837671468</v>
      </c>
      <c r="AC32" s="3">
        <f t="shared" ref="AC32" si="221">AB32*180/PI()</f>
        <v>24.721935295800368</v>
      </c>
      <c r="AD32" s="3">
        <f t="shared" si="203"/>
        <v>0.45228211290684728</v>
      </c>
      <c r="AE32" s="3">
        <f t="shared" ref="AE32:AG32" si="222">AD32*180/PI()</f>
        <v>25.913856218821728</v>
      </c>
      <c r="AF32" s="3">
        <f t="shared" si="203"/>
        <v>0.54135935207950125</v>
      </c>
      <c r="AG32" s="3">
        <f t="shared" si="222"/>
        <v>31.01760607409221</v>
      </c>
      <c r="AH32" s="3">
        <f t="shared" si="203"/>
        <v>0.61570383812030571</v>
      </c>
      <c r="AI32" s="3">
        <f t="shared" ref="AI32" si="223">AH32*180/PI()</f>
        <v>35.277231354299566</v>
      </c>
      <c r="AJ32" s="3">
        <f t="shared" si="203"/>
        <v>0.6514848565996918</v>
      </c>
      <c r="AK32" s="3">
        <f t="shared" ref="AK32" si="224">AJ32*180/PI()</f>
        <v>37.327332699847993</v>
      </c>
      <c r="AL32" s="3">
        <f t="shared" si="203"/>
        <v>0.70039877150103058</v>
      </c>
      <c r="AM32" s="3">
        <f t="shared" ref="AM32" si="225">AL32*180/PI()</f>
        <v>40.129893583156779</v>
      </c>
      <c r="AN32" s="3">
        <f t="shared" si="214"/>
        <v>0.71698219985418821</v>
      </c>
      <c r="AO32" s="3">
        <f t="shared" ref="AO32" si="226">AN32*180/PI()</f>
        <v>41.080054037650292</v>
      </c>
    </row>
    <row r="33" spans="2:41" ht="15.6" customHeight="1" x14ac:dyDescent="0.4">
      <c r="B33" s="9">
        <v>56</v>
      </c>
      <c r="C33" s="10">
        <f t="shared" si="0"/>
        <v>0.97738438111682457</v>
      </c>
      <c r="D33" s="3"/>
      <c r="E33" s="3"/>
      <c r="F33" s="3">
        <f t="shared" ref="F31:F50" si="227">ATAN(_xlfn.COT($C33)*((F$3^2*(SIN($C33))^2-1)/(1+(((1.4+1)/(2))-(SIN($C33))^2)*F$3^2)))</f>
        <v>-3.9902039737076591E-3</v>
      </c>
      <c r="G33" s="3">
        <f t="shared" ref="G33" si="228">F33*180/PI()</f>
        <v>-0.22862184708977898</v>
      </c>
      <c r="H33" s="3">
        <f t="shared" si="200"/>
        <v>5.831277302404942E-2</v>
      </c>
      <c r="I33" s="3">
        <f t="shared" si="185"/>
        <v>3.3410757859823503</v>
      </c>
      <c r="J33" s="3">
        <f t="shared" si="201"/>
        <v>0.11625399166279532</v>
      </c>
      <c r="K33" s="3">
        <f t="shared" si="186"/>
        <v>6.6608630738272314</v>
      </c>
      <c r="L33" s="3">
        <f t="shared" si="202"/>
        <v>0.16950323432391595</v>
      </c>
      <c r="M33" s="3">
        <f t="shared" si="187"/>
        <v>9.711819940577417</v>
      </c>
      <c r="N33" s="3">
        <f t="shared" si="203"/>
        <v>0.21800833791874677</v>
      </c>
      <c r="O33" s="3">
        <f t="shared" si="188"/>
        <v>12.490957661406059</v>
      </c>
      <c r="P33" s="3">
        <f t="shared" si="203"/>
        <v>0.26191382261371904</v>
      </c>
      <c r="Q33" s="3">
        <f t="shared" si="188"/>
        <v>15.006556631904202</v>
      </c>
      <c r="R33" s="3">
        <f t="shared" si="203"/>
        <v>0.30148882572959795</v>
      </c>
      <c r="S33" s="3">
        <f t="shared" ref="S33" si="229">R33*180/PI()</f>
        <v>17.274037284661144</v>
      </c>
      <c r="T33" s="3">
        <f t="shared" si="203"/>
        <v>0.337070399387425</v>
      </c>
      <c r="U33" s="3">
        <f t="shared" ref="U33" si="230">T33*180/PI()</f>
        <v>19.3127112836885</v>
      </c>
      <c r="V33" s="3">
        <f t="shared" si="203"/>
        <v>0.36902274112844741</v>
      </c>
      <c r="W33" s="3">
        <f t="shared" ref="W33" si="231">V33*180/PI()</f>
        <v>21.143445611008779</v>
      </c>
      <c r="X33" s="3">
        <f t="shared" si="203"/>
        <v>0.39771011320068972</v>
      </c>
      <c r="Y33" s="3">
        <f t="shared" ref="Y33" si="232">X33*180/PI()</f>
        <v>22.787110956069728</v>
      </c>
      <c r="Z33" s="3">
        <f t="shared" si="203"/>
        <v>0.42348029315506708</v>
      </c>
      <c r="AA33" s="3">
        <f t="shared" ref="AA33" si="233">Z33*180/PI()</f>
        <v>24.263633504748189</v>
      </c>
      <c r="AB33" s="3">
        <f t="shared" si="203"/>
        <v>0.44665552596918251</v>
      </c>
      <c r="AC33" s="3">
        <f t="shared" ref="AC33" si="234">AB33*180/PI()</f>
        <v>25.591476534230097</v>
      </c>
      <c r="AD33" s="3">
        <f t="shared" si="203"/>
        <v>0.46752849996234902</v>
      </c>
      <c r="AE33" s="3">
        <f t="shared" ref="AE33:AG33" si="235">AD33*180/PI()</f>
        <v>26.787409849924867</v>
      </c>
      <c r="AF33" s="3">
        <f t="shared" si="203"/>
        <v>0.55717629732946772</v>
      </c>
      <c r="AG33" s="3">
        <f t="shared" si="235"/>
        <v>31.92385028170478</v>
      </c>
      <c r="AH33" s="3">
        <f t="shared" si="203"/>
        <v>0.63232387474394058</v>
      </c>
      <c r="AI33" s="3">
        <f t="shared" ref="AI33" si="236">AH33*180/PI()</f>
        <v>36.229489308186707</v>
      </c>
      <c r="AJ33" s="3">
        <f t="shared" si="203"/>
        <v>0.66859261363311084</v>
      </c>
      <c r="AK33" s="3">
        <f t="shared" ref="AK33" si="237">AJ33*180/PI()</f>
        <v>38.307534974798152</v>
      </c>
      <c r="AL33" s="3">
        <f t="shared" si="203"/>
        <v>0.71827411035318867</v>
      </c>
      <c r="AM33" s="3">
        <f t="shared" ref="AM33" si="238">AL33*180/PI()</f>
        <v>41.154075056751658</v>
      </c>
      <c r="AN33" s="3">
        <f t="shared" si="214"/>
        <v>0.73514311740135596</v>
      </c>
      <c r="AO33" s="3">
        <f t="shared" ref="AO33" si="239">AN33*180/PI()</f>
        <v>42.12059796518809</v>
      </c>
    </row>
    <row r="34" spans="2:41" ht="15.6" customHeight="1" x14ac:dyDescent="0.4">
      <c r="B34" s="9">
        <v>58</v>
      </c>
      <c r="C34" s="10">
        <f t="shared" si="0"/>
        <v>1.0122909661567112</v>
      </c>
      <c r="D34" s="3"/>
      <c r="E34" s="3"/>
      <c r="F34" s="3">
        <f t="shared" si="227"/>
        <v>1.3153767179879067E-2</v>
      </c>
      <c r="G34" s="3">
        <f t="shared" ref="G34" si="240">F34*180/PI()</f>
        <v>0.75365534410476964</v>
      </c>
      <c r="H34" s="3">
        <f t="shared" si="200"/>
        <v>7.4129265939847269E-2</v>
      </c>
      <c r="I34" s="3">
        <f t="shared" si="185"/>
        <v>4.2472940767561322</v>
      </c>
      <c r="J34" s="3">
        <f t="shared" si="201"/>
        <v>0.13101481624068537</v>
      </c>
      <c r="K34" s="3">
        <f t="shared" si="186"/>
        <v>7.5065960242733061</v>
      </c>
      <c r="L34" s="3">
        <f t="shared" si="202"/>
        <v>0.18345884031324616</v>
      </c>
      <c r="M34" s="3">
        <f t="shared" si="187"/>
        <v>10.511417264313531</v>
      </c>
      <c r="N34" s="3">
        <f t="shared" si="203"/>
        <v>0.23137646488845465</v>
      </c>
      <c r="O34" s="3">
        <f t="shared" si="188"/>
        <v>13.256894916765331</v>
      </c>
      <c r="P34" s="3">
        <f t="shared" si="203"/>
        <v>0.27487548081664859</v>
      </c>
      <c r="Q34" s="3">
        <f t="shared" si="188"/>
        <v>15.749204942423187</v>
      </c>
      <c r="R34" s="3">
        <f t="shared" si="203"/>
        <v>0.31418925787312435</v>
      </c>
      <c r="S34" s="3">
        <f t="shared" ref="S34" si="241">R34*180/PI()</f>
        <v>18.001718444477497</v>
      </c>
      <c r="T34" s="3">
        <f t="shared" si="203"/>
        <v>0.34962282496487873</v>
      </c>
      <c r="U34" s="3">
        <f t="shared" ref="U34" si="242">T34*180/PI()</f>
        <v>20.031912291928666</v>
      </c>
      <c r="V34" s="3">
        <f t="shared" si="203"/>
        <v>0.38151324898474914</v>
      </c>
      <c r="W34" s="3">
        <f t="shared" ref="W34" si="243">V34*180/PI()</f>
        <v>21.859098995149868</v>
      </c>
      <c r="X34" s="3">
        <f t="shared" si="203"/>
        <v>0.41020267270779198</v>
      </c>
      <c r="Y34" s="3">
        <f t="shared" ref="Y34" si="244">X34*180/PI()</f>
        <v>23.502881891142721</v>
      </c>
      <c r="Z34" s="3">
        <f t="shared" si="203"/>
        <v>0.43602133349492411</v>
      </c>
      <c r="AA34" s="3">
        <f t="shared" ref="AA34" si="245">Z34*180/PI()</f>
        <v>24.982182186925307</v>
      </c>
      <c r="AB34" s="3">
        <f t="shared" si="203"/>
        <v>0.45927785331894883</v>
      </c>
      <c r="AC34" s="3">
        <f t="shared" ref="AC34" si="246">AB34*180/PI()</f>
        <v>26.314682619004255</v>
      </c>
      <c r="AD34" s="3">
        <f t="shared" si="203"/>
        <v>0.48025450999805958</v>
      </c>
      <c r="AE34" s="3">
        <f t="shared" ref="AE34:AG34" si="247">AD34*180/PI()</f>
        <v>27.516556515012212</v>
      </c>
      <c r="AF34" s="3">
        <f t="shared" si="203"/>
        <v>0.57067200350283953</v>
      </c>
      <c r="AG34" s="3">
        <f t="shared" si="247"/>
        <v>32.697097286987635</v>
      </c>
      <c r="AH34" s="3">
        <f t="shared" si="203"/>
        <v>0.646857886880434</v>
      </c>
      <c r="AI34" s="3">
        <f t="shared" ref="AI34" si="248">AH34*180/PI()</f>
        <v>37.062226862999694</v>
      </c>
      <c r="AJ34" s="3">
        <f t="shared" si="203"/>
        <v>0.68374962729516542</v>
      </c>
      <c r="AK34" s="3">
        <f t="shared" ref="AK34" si="249">AJ34*180/PI()</f>
        <v>39.175967887656014</v>
      </c>
      <c r="AL34" s="3">
        <f t="shared" si="203"/>
        <v>0.73440600584470905</v>
      </c>
      <c r="AM34" s="3">
        <f t="shared" ref="AM34" si="250">AL34*180/PI()</f>
        <v>42.0783645839619</v>
      </c>
      <c r="AN34" s="3">
        <f t="shared" si="214"/>
        <v>0.75163652168481176</v>
      </c>
      <c r="AO34" s="3">
        <f t="shared" ref="AO34" si="251">AN34*180/PI()</f>
        <v>43.0656004204331</v>
      </c>
    </row>
    <row r="35" spans="2:41" ht="15.6" customHeight="1" x14ac:dyDescent="0.4">
      <c r="B35" s="9">
        <v>60</v>
      </c>
      <c r="C35" s="10">
        <f t="shared" si="0"/>
        <v>1.0471975511965976</v>
      </c>
      <c r="D35" s="3"/>
      <c r="E35" s="3"/>
      <c r="F35" s="3">
        <f t="shared" si="227"/>
        <v>2.8019377257565727E-2</v>
      </c>
      <c r="G35" s="3">
        <f t="shared" ref="G35" si="252">F35*180/PI()</f>
        <v>1.6053920614433592</v>
      </c>
      <c r="H35" s="3">
        <f t="shared" si="200"/>
        <v>8.7501751254756052E-2</v>
      </c>
      <c r="I35" s="3">
        <f t="shared" si="185"/>
        <v>5.0134810469010773</v>
      </c>
      <c r="J35" s="3">
        <f t="shared" si="201"/>
        <v>0.14319730857791374</v>
      </c>
      <c r="K35" s="3">
        <f t="shared" si="186"/>
        <v>8.2046014191469574</v>
      </c>
      <c r="L35" s="3">
        <f t="shared" si="202"/>
        <v>0.194732088868666</v>
      </c>
      <c r="M35" s="3">
        <f t="shared" si="187"/>
        <v>11.15732682794104</v>
      </c>
      <c r="N35" s="3">
        <f t="shared" si="203"/>
        <v>0.24198594596244119</v>
      </c>
      <c r="O35" s="3">
        <f t="shared" si="188"/>
        <v>13.864773405128686</v>
      </c>
      <c r="P35" s="3">
        <f t="shared" si="203"/>
        <v>0.28502644724338283</v>
      </c>
      <c r="Q35" s="3">
        <f t="shared" si="188"/>
        <v>16.330812476654053</v>
      </c>
      <c r="R35" s="3">
        <f t="shared" si="203"/>
        <v>0.32404732456936142</v>
      </c>
      <c r="S35" s="3">
        <f t="shared" ref="S35" si="253">R35*180/PI()</f>
        <v>18.566544060330354</v>
      </c>
      <c r="T35" s="3">
        <f t="shared" si="203"/>
        <v>0.35931775894406526</v>
      </c>
      <c r="U35" s="3">
        <f t="shared" ref="U35" si="254">T35*180/PI()</f>
        <v>20.587391091594025</v>
      </c>
      <c r="V35" s="3">
        <f t="shared" si="203"/>
        <v>0.39114417713625804</v>
      </c>
      <c r="W35" s="3">
        <f t="shared" ref="W35" si="255">V35*180/PI()</f>
        <v>22.410910531025056</v>
      </c>
      <c r="X35" s="3">
        <f t="shared" si="203"/>
        <v>0.41984354585049161</v>
      </c>
      <c r="Y35" s="3">
        <f t="shared" ref="Y35" si="256">X35*180/PI()</f>
        <v>24.055263233040435</v>
      </c>
      <c r="Z35" s="3">
        <f t="shared" si="203"/>
        <v>0.44572600048947181</v>
      </c>
      <c r="AA35" s="3">
        <f t="shared" ref="AA35" si="257">Z35*180/PI()</f>
        <v>25.538218647292798</v>
      </c>
      <c r="AB35" s="3">
        <f t="shared" si="203"/>
        <v>0.4690844550839699</v>
      </c>
      <c r="AC35" s="3">
        <f t="shared" ref="AC35" si="258">AB35*180/PI()</f>
        <v>26.876559511505505</v>
      </c>
      <c r="AD35" s="3">
        <f t="shared" si="203"/>
        <v>0.49018911905970669</v>
      </c>
      <c r="AE35" s="3">
        <f t="shared" ref="AE35:AG35" si="259">AD35*180/PI()</f>
        <v>28.085767685357013</v>
      </c>
      <c r="AF35" s="3">
        <f t="shared" si="203"/>
        <v>0.58154510249254909</v>
      </c>
      <c r="AG35" s="3">
        <f t="shared" si="259"/>
        <v>33.320079969325953</v>
      </c>
      <c r="AH35" s="3">
        <f t="shared" si="203"/>
        <v>0.658994029094223</v>
      </c>
      <c r="AI35" s="3">
        <f t="shared" ref="AI35" si="260">AH35*180/PI()</f>
        <v>37.75757659142036</v>
      </c>
      <c r="AJ35" s="3">
        <f t="shared" si="203"/>
        <v>0.69664467103807459</v>
      </c>
      <c r="AK35" s="3">
        <f t="shared" ref="AK35" si="261">AJ35*180/PI()</f>
        <v>39.914799470761288</v>
      </c>
      <c r="AL35" s="3">
        <f t="shared" si="203"/>
        <v>0.74849050179023657</v>
      </c>
      <c r="AM35" s="3">
        <f t="shared" ref="AM35" si="262">AL35*180/PI()</f>
        <v>42.885346758209742</v>
      </c>
      <c r="AN35" s="3">
        <f t="shared" si="214"/>
        <v>0.76616264951613788</v>
      </c>
      <c r="AO35" s="3">
        <f t="shared" ref="AO35" si="263">AN35*180/PI()</f>
        <v>43.897886237835607</v>
      </c>
    </row>
    <row r="36" spans="2:41" ht="15.6" customHeight="1" x14ac:dyDescent="0.4">
      <c r="B36" s="9">
        <v>62</v>
      </c>
      <c r="C36" s="10">
        <f t="shared" si="0"/>
        <v>1.0821041362364843</v>
      </c>
      <c r="D36" s="3"/>
      <c r="E36" s="3"/>
      <c r="F36" s="3">
        <f t="shared" si="227"/>
        <v>4.0589621692579084E-2</v>
      </c>
      <c r="G36" s="3">
        <f t="shared" ref="G36" si="264">F36*180/PI()</f>
        <v>2.3256140150174343</v>
      </c>
      <c r="H36" s="3">
        <f t="shared" si="200"/>
        <v>9.8382947596825365E-2</v>
      </c>
      <c r="I36" s="3">
        <f t="shared" si="185"/>
        <v>5.6369276733548386</v>
      </c>
      <c r="J36" s="3">
        <f t="shared" si="201"/>
        <v>0.15272077101069684</v>
      </c>
      <c r="K36" s="3">
        <f t="shared" si="186"/>
        <v>8.7502556228968214</v>
      </c>
      <c r="L36" s="3">
        <f t="shared" si="202"/>
        <v>0.20320776593320941</v>
      </c>
      <c r="M36" s="3">
        <f t="shared" si="187"/>
        <v>11.642947352255208</v>
      </c>
      <c r="N36" s="3">
        <f t="shared" si="203"/>
        <v>0.24968767519090487</v>
      </c>
      <c r="O36" s="3">
        <f t="shared" si="188"/>
        <v>14.306049984872201</v>
      </c>
      <c r="P36" s="3">
        <f t="shared" si="203"/>
        <v>0.29218561425046957</v>
      </c>
      <c r="Q36" s="3">
        <f t="shared" si="188"/>
        <v>16.74100253098943</v>
      </c>
      <c r="R36" s="3">
        <f t="shared" si="203"/>
        <v>0.33085260251350701</v>
      </c>
      <c r="S36" s="3">
        <f t="shared" ref="S36" si="265">R36*180/PI()</f>
        <v>18.956457764943362</v>
      </c>
      <c r="T36" s="3">
        <f t="shared" si="203"/>
        <v>0.36591854333808793</v>
      </c>
      <c r="U36" s="3">
        <f t="shared" ref="U36" si="266">T36*180/PI()</f>
        <v>20.965588178847344</v>
      </c>
      <c r="V36" s="3">
        <f t="shared" si="203"/>
        <v>0.3976558080192838</v>
      </c>
      <c r="W36" s="3">
        <f t="shared" ref="W36" si="267">V36*180/PI()</f>
        <v>22.783999498369479</v>
      </c>
      <c r="X36" s="3">
        <f t="shared" si="203"/>
        <v>0.42635302279377424</v>
      </c>
      <c r="Y36" s="3">
        <f t="shared" ref="Y36" si="268">X36*180/PI()</f>
        <v>24.428228788728251</v>
      </c>
      <c r="Z36" s="3">
        <f t="shared" si="203"/>
        <v>0.45229743156569491</v>
      </c>
      <c r="AA36" s="3">
        <f t="shared" ref="AA36" si="269">Z36*180/PI()</f>
        <v>25.914733913321498</v>
      </c>
      <c r="AB36" s="3">
        <f t="shared" si="203"/>
        <v>0.47576386838184859</v>
      </c>
      <c r="AC36" s="3">
        <f t="shared" ref="AC36" si="270">AB36*180/PI()</f>
        <v>27.259261703097515</v>
      </c>
      <c r="AD36" s="3">
        <f t="shared" si="203"/>
        <v>0.49700851099025889</v>
      </c>
      <c r="AE36" s="3">
        <f t="shared" ref="AE36:AG36" si="271">AD36*180/PI()</f>
        <v>28.476490061823224</v>
      </c>
      <c r="AF36" s="3">
        <f t="shared" si="203"/>
        <v>0.58942991616768814</v>
      </c>
      <c r="AG36" s="3">
        <f t="shared" si="271"/>
        <v>33.771846515158458</v>
      </c>
      <c r="AH36" s="3">
        <f t="shared" si="203"/>
        <v>0.66834976103186428</v>
      </c>
      <c r="AI36" s="3">
        <f t="shared" ref="AI36" si="272">AH36*180/PI()</f>
        <v>38.29362054570295</v>
      </c>
      <c r="AJ36" s="3">
        <f t="shared" si="203"/>
        <v>0.70689430330226444</v>
      </c>
      <c r="AK36" s="3">
        <f t="shared" ref="AK36" si="273">AJ36*180/PI()</f>
        <v>40.50206014106049</v>
      </c>
      <c r="AL36" s="3">
        <f t="shared" si="203"/>
        <v>0.76015135644571297</v>
      </c>
      <c r="AM36" s="3">
        <f t="shared" ref="AM36" si="274">AL36*180/PI()</f>
        <v>43.553464515484016</v>
      </c>
      <c r="AN36" s="3">
        <f t="shared" si="214"/>
        <v>0.77835000520200492</v>
      </c>
      <c r="AO36" s="3">
        <f t="shared" ref="AO36" si="275">AN36*180/PI()</f>
        <v>44.596170282060555</v>
      </c>
    </row>
    <row r="37" spans="2:41" ht="15.6" customHeight="1" x14ac:dyDescent="0.4">
      <c r="B37" s="9">
        <v>64</v>
      </c>
      <c r="C37" s="10">
        <f t="shared" si="0"/>
        <v>1.1170107212763709</v>
      </c>
      <c r="D37" s="3">
        <f t="shared" ref="D7:D50" si="276">ATAN(_xlfn.COT($C37)*((D$3^2*(SIN($C37))^2-1)/(1+(((1.4+1)/(2))-(SIN($C37))^2)*D$3^2)))</f>
        <v>-7.4504540725525929E-3</v>
      </c>
      <c r="E37" s="3">
        <f t="shared" ref="E37" si="277">D37*180/PI()</f>
        <v>-0.42687957381331959</v>
      </c>
      <c r="F37" s="3">
        <f t="shared" si="227"/>
        <v>5.085019266909286E-2</v>
      </c>
      <c r="G37" s="3">
        <f t="shared" ref="G37" si="278">F37*180/PI()</f>
        <v>2.9135014273660995</v>
      </c>
      <c r="H37" s="3">
        <f t="shared" si="200"/>
        <v>0.10672556029492532</v>
      </c>
      <c r="I37" s="3">
        <f t="shared" si="185"/>
        <v>6.1149241710682141</v>
      </c>
      <c r="J37" s="3">
        <f t="shared" si="201"/>
        <v>0.15950064328274424</v>
      </c>
      <c r="K37" s="3">
        <f t="shared" si="186"/>
        <v>9.1387136897229091</v>
      </c>
      <c r="L37" s="3">
        <f t="shared" si="202"/>
        <v>0.20876193417725772</v>
      </c>
      <c r="M37" s="3">
        <f t="shared" si="187"/>
        <v>11.961177751344763</v>
      </c>
      <c r="N37" s="3">
        <f t="shared" si="203"/>
        <v>0.25431819161909475</v>
      </c>
      <c r="O37" s="3">
        <f t="shared" si="188"/>
        <v>14.571359033173474</v>
      </c>
      <c r="P37" s="3">
        <f t="shared" si="203"/>
        <v>0.29615140723507932</v>
      </c>
      <c r="Q37" s="3">
        <f t="shared" si="188"/>
        <v>16.968225731430159</v>
      </c>
      <c r="R37" s="3">
        <f t="shared" si="203"/>
        <v>0.33436789466404665</v>
      </c>
      <c r="S37" s="3">
        <f t="shared" ref="S37" si="279">R37*180/PI()</f>
        <v>19.157869168924751</v>
      </c>
      <c r="T37" s="3">
        <f t="shared" si="203"/>
        <v>0.36915548805146658</v>
      </c>
      <c r="U37" s="3">
        <f t="shared" ref="U37" si="280">T37*180/PI()</f>
        <v>21.151051449441123</v>
      </c>
      <c r="V37" s="3">
        <f t="shared" si="203"/>
        <v>0.40074936673286515</v>
      </c>
      <c r="W37" s="3">
        <f t="shared" ref="W37" si="281">V37*180/PI()</f>
        <v>22.961247356333608</v>
      </c>
      <c r="X37" s="3">
        <f t="shared" si="203"/>
        <v>0.4294066694867954</v>
      </c>
      <c r="Y37" s="3">
        <f t="shared" ref="Y37" si="282">X37*180/PI()</f>
        <v>24.603189856362444</v>
      </c>
      <c r="Z37" s="3">
        <f t="shared" si="203"/>
        <v>0.45538880478969357</v>
      </c>
      <c r="AA37" s="3">
        <f t="shared" ref="AA37" si="283">Z37*180/PI()</f>
        <v>26.091856551956369</v>
      </c>
      <c r="AB37" s="3">
        <f t="shared" si="203"/>
        <v>0.47894990028716533</v>
      </c>
      <c r="AC37" s="3">
        <f t="shared" ref="AC37" si="284">AB37*180/PI()</f>
        <v>27.441807884666186</v>
      </c>
      <c r="AD37" s="3">
        <f t="shared" si="203"/>
        <v>0.50032983674331</v>
      </c>
      <c r="AE37" s="3">
        <f t="shared" ref="AE37:AG37" si="285">AD37*180/PI()</f>
        <v>28.666788009861168</v>
      </c>
      <c r="AF37" s="3">
        <f t="shared" si="203"/>
        <v>0.59388426623063995</v>
      </c>
      <c r="AG37" s="3">
        <f t="shared" si="285"/>
        <v>34.02706197423943</v>
      </c>
      <c r="AH37" s="3">
        <f t="shared" si="203"/>
        <v>0.67445479388735796</v>
      </c>
      <c r="AI37" s="3">
        <f t="shared" ref="AI37" si="286">AH37*180/PI()</f>
        <v>38.643413162111443</v>
      </c>
      <c r="AJ37" s="3">
        <f t="shared" si="203"/>
        <v>0.71402380474541116</v>
      </c>
      <c r="AK37" s="3">
        <f t="shared" ref="AK37" si="287">AJ37*180/PI()</f>
        <v>40.910550483785215</v>
      </c>
      <c r="AL37" s="3">
        <f t="shared" si="203"/>
        <v>0.76891885700220042</v>
      </c>
      <c r="AM37" s="3">
        <f t="shared" ref="AM37" si="288">AL37*180/PI()</f>
        <v>44.055805294249346</v>
      </c>
      <c r="AN37" s="3">
        <f t="shared" si="214"/>
        <v>0.78773366353632879</v>
      </c>
      <c r="AO37" s="3">
        <f t="shared" ref="AO37" si="289">AN37*180/PI()</f>
        <v>45.133814301010069</v>
      </c>
    </row>
    <row r="38" spans="2:41" ht="15.6" customHeight="1" x14ac:dyDescent="0.4">
      <c r="B38" s="9">
        <v>66</v>
      </c>
      <c r="C38" s="10">
        <f t="shared" si="0"/>
        <v>1.1519173063162575</v>
      </c>
      <c r="D38" s="3">
        <f t="shared" si="276"/>
        <v>3.0328619707477699E-3</v>
      </c>
      <c r="E38" s="3">
        <f t="shared" ref="E38" si="290">D38*180/PI()</f>
        <v>0.17377019076957656</v>
      </c>
      <c r="F38" s="3">
        <f t="shared" si="227"/>
        <v>5.87934268916133E-2</v>
      </c>
      <c r="G38" s="3">
        <f t="shared" ref="G38" si="291">F38*180/PI()</f>
        <v>3.368615224000401</v>
      </c>
      <c r="H38" s="3">
        <f t="shared" si="200"/>
        <v>0.1124870549542883</v>
      </c>
      <c r="I38" s="3">
        <f t="shared" si="185"/>
        <v>6.4450334987368771</v>
      </c>
      <c r="J38" s="3">
        <f t="shared" si="201"/>
        <v>0.16345382216160262</v>
      </c>
      <c r="K38" s="3">
        <f t="shared" si="186"/>
        <v>9.3652141551417536</v>
      </c>
      <c r="L38" s="3">
        <f t="shared" si="202"/>
        <v>0.21126741767025817</v>
      </c>
      <c r="M38" s="3">
        <f t="shared" si="187"/>
        <v>12.104731381133385</v>
      </c>
      <c r="N38" s="3">
        <f t="shared" si="203"/>
        <v>0.25570490385968742</v>
      </c>
      <c r="O38" s="3">
        <f t="shared" si="188"/>
        <v>14.650811791958564</v>
      </c>
      <c r="P38" s="3">
        <f t="shared" si="203"/>
        <v>0.29670633545297082</v>
      </c>
      <c r="Q38" s="3">
        <f t="shared" si="188"/>
        <v>17.000020776248057</v>
      </c>
      <c r="R38" s="3">
        <f t="shared" si="203"/>
        <v>0.33433274689918407</v>
      </c>
      <c r="S38" s="3">
        <f t="shared" ref="S38" si="292">R38*180/PI()</f>
        <v>19.155855350338811</v>
      </c>
      <c r="T38" s="3">
        <f t="shared" si="203"/>
        <v>0.3687280695821531</v>
      </c>
      <c r="U38" s="3">
        <f t="shared" ref="U38" si="293">T38*180/PI()</f>
        <v>21.126562175063523</v>
      </c>
      <c r="V38" s="3">
        <f t="shared" si="203"/>
        <v>0.40008770142076122</v>
      </c>
      <c r="W38" s="3">
        <f t="shared" ref="W38" si="294">V38*180/PI()</f>
        <v>22.923336726499851</v>
      </c>
      <c r="X38" s="3">
        <f t="shared" si="203"/>
        <v>0.42863436787560139</v>
      </c>
      <c r="Y38" s="3">
        <f t="shared" ref="Y38" si="295">X38*180/PI()</f>
        <v>24.558940233529874</v>
      </c>
      <c r="Z38" s="3">
        <f t="shared" si="203"/>
        <v>0.45460068410472754</v>
      </c>
      <c r="AA38" s="3">
        <f t="shared" ref="AA38" si="296">Z38*180/PI()</f>
        <v>26.046700562960858</v>
      </c>
      <c r="AB38" s="3">
        <f t="shared" si="203"/>
        <v>0.47821727640040335</v>
      </c>
      <c r="AC38" s="3">
        <f t="shared" ref="AC38" si="297">AB38*180/PI()</f>
        <v>27.399831627984256</v>
      </c>
      <c r="AD38" s="3">
        <f t="shared" si="203"/>
        <v>0.49970520398026091</v>
      </c>
      <c r="AE38" s="3">
        <f t="shared" ref="AE38:AG38" si="298">AD38*180/PI()</f>
        <v>28.63099918879286</v>
      </c>
      <c r="AF38" s="3">
        <f t="shared" si="203"/>
        <v>0.59437525789048062</v>
      </c>
      <c r="AG38" s="3">
        <f t="shared" si="298"/>
        <v>34.055193724124422</v>
      </c>
      <c r="AH38" s="3">
        <f t="shared" si="203"/>
        <v>0.67672955877979768</v>
      </c>
      <c r="AI38" s="3">
        <f t="shared" ref="AI38" si="299">AH38*180/PI()</f>
        <v>38.773747589832773</v>
      </c>
      <c r="AJ38" s="3">
        <f t="shared" si="203"/>
        <v>0.71744241234787864</v>
      </c>
      <c r="AK38" s="3">
        <f t="shared" ref="AK38" si="300">AJ38*180/PI()</f>
        <v>41.106422271217944</v>
      </c>
      <c r="AL38" s="3">
        <f t="shared" si="203"/>
        <v>0.7742013827453964</v>
      </c>
      <c r="AM38" s="3">
        <f t="shared" ref="AM38" si="301">AL38*180/PI()</f>
        <v>44.358471724503694</v>
      </c>
      <c r="AN38" s="3">
        <f t="shared" si="214"/>
        <v>0.79372586310096183</v>
      </c>
      <c r="AO38" s="3">
        <f t="shared" ref="AO38" si="302">AN38*180/PI()</f>
        <v>45.477142046063676</v>
      </c>
    </row>
    <row r="39" spans="2:41" ht="15.6" customHeight="1" x14ac:dyDescent="0.4">
      <c r="B39" s="9">
        <v>68</v>
      </c>
      <c r="C39" s="10">
        <f t="shared" si="0"/>
        <v>1.1868238913561442</v>
      </c>
      <c r="D39" s="3">
        <f t="shared" si="276"/>
        <v>1.1504022129957919E-2</v>
      </c>
      <c r="E39" s="3">
        <f t="shared" ref="E39" si="303">D39*180/PI()</f>
        <v>0.65913191547168859</v>
      </c>
      <c r="F39" s="3">
        <f t="shared" si="227"/>
        <v>6.4422767820042762E-2</v>
      </c>
      <c r="G39" s="3">
        <f t="shared" ref="G39" si="304">F39*180/PI()</f>
        <v>3.6911527006396656</v>
      </c>
      <c r="H39" s="3">
        <f t="shared" si="200"/>
        <v>0.11563531988475823</v>
      </c>
      <c r="I39" s="3">
        <f t="shared" si="185"/>
        <v>6.625415792041851</v>
      </c>
      <c r="J39" s="3">
        <f t="shared" si="201"/>
        <v>0.16450531541554975</v>
      </c>
      <c r="K39" s="3">
        <f t="shared" si="186"/>
        <v>9.4254602807794008</v>
      </c>
      <c r="L39" s="3">
        <f t="shared" si="202"/>
        <v>0.21060108464648805</v>
      </c>
      <c r="M39" s="3">
        <f t="shared" si="187"/>
        <v>12.066553311121167</v>
      </c>
      <c r="N39" s="3">
        <f t="shared" si="203"/>
        <v>0.25367353598115455</v>
      </c>
      <c r="O39" s="3">
        <f t="shared" si="188"/>
        <v>14.534422985880186</v>
      </c>
      <c r="P39" s="3">
        <f t="shared" si="203"/>
        <v>0.29362409643899651</v>
      </c>
      <c r="Q39" s="3">
        <f t="shared" si="188"/>
        <v>16.823421489296766</v>
      </c>
      <c r="R39" s="3">
        <f t="shared" si="203"/>
        <v>0.33046972618250353</v>
      </c>
      <c r="S39" s="3">
        <f t="shared" ref="S39" si="305">R39*180/PI()</f>
        <v>18.934520567101412</v>
      </c>
      <c r="T39" s="3">
        <f t="shared" si="203"/>
        <v>0.36430996042450686</v>
      </c>
      <c r="U39" s="3">
        <f t="shared" ref="U39" si="306">T39*180/PI()</f>
        <v>20.873423166902295</v>
      </c>
      <c r="V39" s="3">
        <f t="shared" si="203"/>
        <v>0.39529872693879181</v>
      </c>
      <c r="W39" s="3">
        <f t="shared" ref="W39" si="307">V39*180/PI()</f>
        <v>22.648948700487153</v>
      </c>
      <c r="X39" s="3">
        <f t="shared" si="203"/>
        <v>0.42362192902224743</v>
      </c>
      <c r="Y39" s="3">
        <f t="shared" ref="Y39" si="308">X39*180/PI()</f>
        <v>24.271748642165299</v>
      </c>
      <c r="Z39" s="3">
        <f t="shared" si="203"/>
        <v>0.44948064421605172</v>
      </c>
      <c r="AA39" s="3">
        <f t="shared" ref="AA39" si="309">Z39*180/PI()</f>
        <v>25.753343886401101</v>
      </c>
      <c r="AB39" s="3">
        <f t="shared" si="203"/>
        <v>0.47307919528374337</v>
      </c>
      <c r="AC39" s="3">
        <f t="shared" ref="AC39" si="310">AB39*180/PI()</f>
        <v>27.105441265203776</v>
      </c>
      <c r="AD39" s="3">
        <f t="shared" si="203"/>
        <v>0.49461714000408352</v>
      </c>
      <c r="AE39" s="3">
        <f t="shared" ref="AE39:AG39" si="311">AD39*180/PI()</f>
        <v>28.33947459706534</v>
      </c>
      <c r="AF39" s="3">
        <f t="shared" si="203"/>
        <v>0.59026358826990599</v>
      </c>
      <c r="AG39" s="3">
        <f t="shared" si="311"/>
        <v>33.819612408113336</v>
      </c>
      <c r="AH39" s="3">
        <f t="shared" si="203"/>
        <v>0.67445852592454192</v>
      </c>
      <c r="AI39" s="3">
        <f t="shared" ref="AI39" si="312">AH39*180/PI()</f>
        <v>38.643626992091072</v>
      </c>
      <c r="AJ39" s="3">
        <f t="shared" si="203"/>
        <v>0.71641141638213279</v>
      </c>
      <c r="AK39" s="3">
        <f t="shared" ref="AK39" si="313">AJ39*180/PI()</f>
        <v>41.047350553685689</v>
      </c>
      <c r="AL39" s="3">
        <f t="shared" si="203"/>
        <v>0.77524715141780987</v>
      </c>
      <c r="AM39" s="3">
        <f t="shared" ref="AM39" si="314">AL39*180/PI()</f>
        <v>44.418389855779985</v>
      </c>
      <c r="AN39" s="3">
        <f t="shared" si="214"/>
        <v>0.79557594145759769</v>
      </c>
      <c r="AO39" s="3">
        <f t="shared" ref="AO39" si="315">AN39*180/PI()</f>
        <v>45.583143727667405</v>
      </c>
    </row>
    <row r="40" spans="2:41" ht="15.6" customHeight="1" x14ac:dyDescent="0.4">
      <c r="B40" s="9">
        <v>70</v>
      </c>
      <c r="C40" s="10">
        <f t="shared" si="0"/>
        <v>1.2217304763960306</v>
      </c>
      <c r="D40" s="3">
        <f t="shared" si="276"/>
        <v>1.8007083585560805E-2</v>
      </c>
      <c r="E40" s="3">
        <f t="shared" ref="E40" si="316">D40*180/PI()</f>
        <v>1.0317298907919357</v>
      </c>
      <c r="F40" s="3">
        <f t="shared" si="227"/>
        <v>6.7757682798860228E-2</v>
      </c>
      <c r="G40" s="3">
        <f t="shared" ref="G40" si="317">F40*180/PI()</f>
        <v>3.8822292539608667</v>
      </c>
      <c r="H40" s="3">
        <f t="shared" si="200"/>
        <v>0.1161552317271901</v>
      </c>
      <c r="I40" s="3">
        <f t="shared" si="185"/>
        <v>6.6552045463320679</v>
      </c>
      <c r="J40" s="3">
        <f t="shared" si="201"/>
        <v>0.16259638402757778</v>
      </c>
      <c r="K40" s="3">
        <f t="shared" si="186"/>
        <v>9.3160865688685561</v>
      </c>
      <c r="L40" s="3">
        <f t="shared" si="202"/>
        <v>0.20665328935264121</v>
      </c>
      <c r="M40" s="3">
        <f t="shared" si="187"/>
        <v>11.840361302402135</v>
      </c>
      <c r="N40" s="3">
        <f t="shared" si="203"/>
        <v>0.24805841828785591</v>
      </c>
      <c r="O40" s="3">
        <f t="shared" si="188"/>
        <v>14.212700440584941</v>
      </c>
      <c r="P40" s="3">
        <f t="shared" si="203"/>
        <v>0.28668015295801735</v>
      </c>
      <c r="Q40" s="3">
        <f t="shared" si="188"/>
        <v>16.425562834659278</v>
      </c>
      <c r="R40" s="3">
        <f t="shared" si="203"/>
        <v>0.32249468018818883</v>
      </c>
      <c r="S40" s="3">
        <f t="shared" ref="S40" si="318">R40*180/PI()</f>
        <v>18.477584090204466</v>
      </c>
      <c r="T40" s="3">
        <f t="shared" si="203"/>
        <v>0.35555839038754145</v>
      </c>
      <c r="U40" s="3">
        <f t="shared" ref="U40" si="319">T40*180/PI()</f>
        <v>20.371995139671021</v>
      </c>
      <c r="V40" s="3">
        <f t="shared" si="203"/>
        <v>0.38598337477482209</v>
      </c>
      <c r="W40" s="3">
        <f t="shared" ref="W40" si="320">V40*180/PI()</f>
        <v>22.115218336813626</v>
      </c>
      <c r="X40" s="3">
        <f t="shared" si="203"/>
        <v>0.41391721184045022</v>
      </c>
      <c r="Y40" s="3">
        <f t="shared" ref="Y40" si="321">X40*180/PI()</f>
        <v>23.715709306280225</v>
      </c>
      <c r="Z40" s="3">
        <f t="shared" si="203"/>
        <v>0.43952724000924859</v>
      </c>
      <c r="AA40" s="3">
        <f t="shared" ref="AA40" si="322">Z40*180/PI()</f>
        <v>25.183055833563522</v>
      </c>
      <c r="AB40" s="3">
        <f t="shared" si="203"/>
        <v>0.46298892828784938</v>
      </c>
      <c r="AC40" s="3">
        <f t="shared" ref="AC40" si="323">AB40*180/PI()</f>
        <v>26.527311552178901</v>
      </c>
      <c r="AD40" s="3">
        <f t="shared" si="203"/>
        <v>0.48447768856806628</v>
      </c>
      <c r="AE40" s="3">
        <f t="shared" ref="AE40:AG40" si="324">AD40*180/PI()</f>
        <v>27.758526823203692</v>
      </c>
      <c r="AF40" s="3">
        <f t="shared" si="203"/>
        <v>0.58078792102611398</v>
      </c>
      <c r="AG40" s="3">
        <f t="shared" si="324"/>
        <v>33.276696666973699</v>
      </c>
      <c r="AH40" s="3">
        <f t="shared" si="203"/>
        <v>0.66675824799818295</v>
      </c>
      <c r="AI40" s="3">
        <f t="shared" ref="AI40" si="325">AH40*180/PI()</f>
        <v>38.202433565832955</v>
      </c>
      <c r="AJ40" s="3">
        <f t="shared" si="203"/>
        <v>0.71000380540473618</v>
      </c>
      <c r="AK40" s="3">
        <f t="shared" ref="AK40" si="326">AJ40*180/PI()</f>
        <v>40.680221487919169</v>
      </c>
      <c r="AL40" s="3">
        <f t="shared" si="203"/>
        <v>0.77109291958016857</v>
      </c>
      <c r="AM40" s="3">
        <f t="shared" ref="AM40" si="327">AL40*180/PI()</f>
        <v>44.180369904364255</v>
      </c>
      <c r="AN40" s="3">
        <f t="shared" si="214"/>
        <v>0.79231569535282242</v>
      </c>
      <c r="AO40" s="3">
        <f t="shared" ref="AO40" si="328">AN40*180/PI()</f>
        <v>45.396345385689813</v>
      </c>
    </row>
    <row r="41" spans="2:41" ht="15.6" customHeight="1" x14ac:dyDescent="0.4">
      <c r="B41" s="9">
        <v>72</v>
      </c>
      <c r="C41" s="10">
        <f t="shared" si="0"/>
        <v>1.2566370614359172</v>
      </c>
      <c r="D41" s="3">
        <f t="shared" si="276"/>
        <v>2.2603420784890384E-2</v>
      </c>
      <c r="E41" s="3">
        <f t="shared" ref="E41" si="329">D41*180/PI()</f>
        <v>1.2950806135325017</v>
      </c>
      <c r="F41" s="3">
        <f t="shared" si="227"/>
        <v>6.8838898638214366E-2</v>
      </c>
      <c r="G41" s="3">
        <f t="shared" ref="G41" si="330">F41*180/PI()</f>
        <v>3.944178358298553</v>
      </c>
      <c r="H41" s="3">
        <f t="shared" si="200"/>
        <v>0.11405603074198636</v>
      </c>
      <c r="I41" s="3">
        <f t="shared" si="185"/>
        <v>6.5349291895301898</v>
      </c>
      <c r="J41" s="3">
        <f t="shared" si="201"/>
        <v>0.15769420218457392</v>
      </c>
      <c r="K41" s="3">
        <f t="shared" si="186"/>
        <v>9.0352122388587723</v>
      </c>
      <c r="L41" s="3">
        <f t="shared" si="202"/>
        <v>0.19933972367357317</v>
      </c>
      <c r="M41" s="3">
        <f t="shared" si="187"/>
        <v>11.421324855799805</v>
      </c>
      <c r="N41" s="3">
        <f t="shared" si="203"/>
        <v>0.2387161934329228</v>
      </c>
      <c r="O41" s="3">
        <f t="shared" si="188"/>
        <v>13.677430385135056</v>
      </c>
      <c r="P41" s="3">
        <f t="shared" si="203"/>
        <v>0.27566675382254435</v>
      </c>
      <c r="Q41" s="3">
        <f t="shared" si="188"/>
        <v>15.794541546103645</v>
      </c>
      <c r="R41" s="3">
        <f t="shared" si="203"/>
        <v>0.31013240152978716</v>
      </c>
      <c r="S41" s="3">
        <f t="shared" ref="S41" si="331">R41*180/PI()</f>
        <v>17.769277697913399</v>
      </c>
      <c r="T41" s="3">
        <f t="shared" si="203"/>
        <v>0.342129730326663</v>
      </c>
      <c r="U41" s="3">
        <f t="shared" ref="U41" si="332">T41*180/PI()</f>
        <v>19.602589593666799</v>
      </c>
      <c r="V41" s="3">
        <f t="shared" si="203"/>
        <v>0.37173038918376466</v>
      </c>
      <c r="W41" s="3">
        <f t="shared" ref="W41" si="333">V41*180/PI()</f>
        <v>21.298582416985262</v>
      </c>
      <c r="X41" s="3">
        <f t="shared" si="203"/>
        <v>0.39904349213609552</v>
      </c>
      <c r="Y41" s="3">
        <f t="shared" ref="Y41" si="334">X41*180/PI()</f>
        <v>22.86350794156013</v>
      </c>
      <c r="Z41" s="3">
        <f t="shared" si="203"/>
        <v>0.42420140688226188</v>
      </c>
      <c r="AA41" s="3">
        <f t="shared" ref="AA41" si="335">Z41*180/PI()</f>
        <v>24.304950277865402</v>
      </c>
      <c r="AB41" s="3">
        <f t="shared" si="203"/>
        <v>0.44734881993401571</v>
      </c>
      <c r="AC41" s="3">
        <f t="shared" ref="AC41" si="336">AB41*180/PI()</f>
        <v>25.631199352376928</v>
      </c>
      <c r="AD41" s="3">
        <f t="shared" si="203"/>
        <v>0.46863468879595482</v>
      </c>
      <c r="AE41" s="3">
        <f t="shared" ref="AE41:AG41" si="337">AD41*180/PI()</f>
        <v>26.850789801434978</v>
      </c>
      <c r="AF41" s="3">
        <f t="shared" si="203"/>
        <v>0.56505274757124846</v>
      </c>
      <c r="AG41" s="3">
        <f t="shared" si="337"/>
        <v>32.37513763810361</v>
      </c>
      <c r="AH41" s="3">
        <f t="shared" si="203"/>
        <v>0.65254151513553582</v>
      </c>
      <c r="AI41" s="3">
        <f t="shared" ref="AI41" si="338">AH41*180/PI()</f>
        <v>37.387874774338336</v>
      </c>
      <c r="AJ41" s="3">
        <f t="shared" si="203"/>
        <v>0.69705507733200833</v>
      </c>
      <c r="AK41" s="3">
        <f t="shared" ref="AK41" si="339">AJ41*180/PI()</f>
        <v>39.938314019289294</v>
      </c>
      <c r="AL41" s="3">
        <f t="shared" si="203"/>
        <v>0.76049607573408617</v>
      </c>
      <c r="AM41" s="3">
        <f t="shared" ref="AM41" si="340">AL41*180/PI()</f>
        <v>43.573215475824561</v>
      </c>
      <c r="AN41" s="3">
        <f t="shared" si="214"/>
        <v>0.78268537763026724</v>
      </c>
      <c r="AO41" s="3">
        <f t="shared" ref="AO41" si="341">AN41*180/PI()</f>
        <v>44.844568824817372</v>
      </c>
    </row>
    <row r="42" spans="2:41" ht="15.6" customHeight="1" x14ac:dyDescent="0.4">
      <c r="B42" s="9">
        <v>74</v>
      </c>
      <c r="C42" s="10">
        <f t="shared" si="0"/>
        <v>1.2915436464758039</v>
      </c>
      <c r="D42" s="3">
        <f t="shared" si="276"/>
        <v>2.5375004260570422E-2</v>
      </c>
      <c r="E42" s="3">
        <f t="shared" ref="E42" si="342">D42*180/PI()</f>
        <v>1.4538806492571676</v>
      </c>
      <c r="F42" s="3">
        <f t="shared" si="227"/>
        <v>6.7733723652616026E-2</v>
      </c>
      <c r="G42" s="3">
        <f t="shared" ref="G42" si="343">F42*180/PI()</f>
        <v>3.8808564960003369</v>
      </c>
      <c r="H42" s="3">
        <f t="shared" si="200"/>
        <v>0.10937925958683073</v>
      </c>
      <c r="I42" s="3">
        <f t="shared" si="185"/>
        <v>6.2669699405912498</v>
      </c>
      <c r="J42" s="3">
        <f t="shared" si="201"/>
        <v>0.14980285766456902</v>
      </c>
      <c r="K42" s="3">
        <f t="shared" si="186"/>
        <v>8.5830715031788021</v>
      </c>
      <c r="L42" s="3">
        <f t="shared" si="202"/>
        <v>0.18861569256628732</v>
      </c>
      <c r="M42" s="3">
        <f t="shared" si="187"/>
        <v>10.80688313398532</v>
      </c>
      <c r="N42" s="3">
        <f t="shared" si="203"/>
        <v>0.22554328977835789</v>
      </c>
      <c r="O42" s="3">
        <f t="shared" si="188"/>
        <v>12.922678601796028</v>
      </c>
      <c r="P42" s="3">
        <f t="shared" si="203"/>
        <v>0.26041323554605073</v>
      </c>
      <c r="Q42" s="3">
        <f t="shared" si="188"/>
        <v>14.920579326134893</v>
      </c>
      <c r="R42" s="3">
        <f t="shared" si="203"/>
        <v>0.29313914365405053</v>
      </c>
      <c r="S42" s="3">
        <f t="shared" ref="S42" si="344">R42*180/PI()</f>
        <v>16.795635741456245</v>
      </c>
      <c r="T42" s="3">
        <f t="shared" si="203"/>
        <v>0.32370344204141754</v>
      </c>
      <c r="U42" s="3">
        <f t="shared" ref="U42" si="345">T42*180/PI()</f>
        <v>18.546841042830884</v>
      </c>
      <c r="V42" s="3">
        <f t="shared" si="203"/>
        <v>0.35214085091430936</v>
      </c>
      <c r="W42" s="3">
        <f t="shared" ref="W42" si="346">V42*180/PI()</f>
        <v>20.176184551535464</v>
      </c>
      <c r="X42" s="3">
        <f t="shared" si="203"/>
        <v>0.37852369732825625</v>
      </c>
      <c r="Y42" s="3">
        <f t="shared" ref="Y42" si="347">X42*180/PI()</f>
        <v>21.687810302596478</v>
      </c>
      <c r="Z42" s="3">
        <f t="shared" si="203"/>
        <v>0.40294960003785535</v>
      </c>
      <c r="AA42" s="3">
        <f t="shared" ref="AA42" si="348">Z42*180/PI()</f>
        <v>23.087311438653668</v>
      </c>
      <c r="AB42" s="3">
        <f t="shared" si="203"/>
        <v>0.42553162020797042</v>
      </c>
      <c r="AC42" s="3">
        <f t="shared" ref="AC42" si="349">AB42*180/PI()</f>
        <v>24.381165887280556</v>
      </c>
      <c r="AD42" s="3">
        <f t="shared" si="203"/>
        <v>0.44639070358435473</v>
      </c>
      <c r="AE42" s="3">
        <f t="shared" ref="AE42:AG42" si="350">AD42*180/PI()</f>
        <v>25.576303329258877</v>
      </c>
      <c r="AF42" s="3">
        <f t="shared" si="203"/>
        <v>0.54202648537668008</v>
      </c>
      <c r="AG42" s="3">
        <f t="shared" si="350"/>
        <v>31.055829996393204</v>
      </c>
      <c r="AH42" s="3">
        <f t="shared" si="203"/>
        <v>0.63048254116014613</v>
      </c>
      <c r="AI42" s="3">
        <f t="shared" ref="AI42" si="351">AH42*180/PI()</f>
        <v>36.12398866515958</v>
      </c>
      <c r="AJ42" s="3">
        <f t="shared" si="203"/>
        <v>0.67610774775788662</v>
      </c>
      <c r="AK42" s="3">
        <f t="shared" ref="AK42" si="352">AJ42*180/PI()</f>
        <v>38.738120442622552</v>
      </c>
      <c r="AL42" s="3">
        <f t="shared" si="203"/>
        <v>0.74184760697695118</v>
      </c>
      <c r="AM42" s="3">
        <f t="shared" ref="AM42" si="353">AL42*180/PI()</f>
        <v>42.504736921659145</v>
      </c>
      <c r="AN42" s="3">
        <f t="shared" si="214"/>
        <v>0.76503566988516258</v>
      </c>
      <c r="AO42" s="3">
        <f t="shared" ref="AO42" si="354">AN42*180/PI()</f>
        <v>43.833315061383509</v>
      </c>
    </row>
    <row r="43" spans="2:41" ht="15.6" customHeight="1" x14ac:dyDescent="0.4">
      <c r="B43" s="9">
        <v>76</v>
      </c>
      <c r="C43" s="10">
        <f t="shared" si="0"/>
        <v>1.3264502315156903</v>
      </c>
      <c r="D43" s="3">
        <f t="shared" si="276"/>
        <v>2.6427309596388539E-2</v>
      </c>
      <c r="E43" s="3">
        <f t="shared" ref="E43" si="355">D43*180/PI()</f>
        <v>1.5141733037586422</v>
      </c>
      <c r="F43" s="3">
        <f t="shared" si="227"/>
        <v>6.4541117429300798E-2</v>
      </c>
      <c r="G43" s="3">
        <f t="shared" ref="G43" si="356">F43*180/PI()</f>
        <v>3.6979336337571729</v>
      </c>
      <c r="H43" s="3">
        <f t="shared" si="200"/>
        <v>0.10220682590700365</v>
      </c>
      <c r="I43" s="3">
        <f t="shared" si="185"/>
        <v>5.8560197618996721</v>
      </c>
      <c r="J43" s="3">
        <f t="shared" si="201"/>
        <v>0.13897521532198728</v>
      </c>
      <c r="K43" s="3">
        <f t="shared" si="186"/>
        <v>7.9626932948717233</v>
      </c>
      <c r="L43" s="3">
        <f t="shared" si="202"/>
        <v>0.17449242391855213</v>
      </c>
      <c r="M43" s="3">
        <f t="shared" si="187"/>
        <v>9.997679447540655</v>
      </c>
      <c r="N43" s="3">
        <f t="shared" si="203"/>
        <v>0.20849704267299463</v>
      </c>
      <c r="O43" s="3">
        <f t="shared" si="188"/>
        <v>11.946000586121617</v>
      </c>
      <c r="P43" s="3">
        <f t="shared" si="203"/>
        <v>0.24081197321393916</v>
      </c>
      <c r="Q43" s="3">
        <f t="shared" si="188"/>
        <v>13.797509721376144</v>
      </c>
      <c r="R43" s="3">
        <f t="shared" si="203"/>
        <v>0.27133306801630563</v>
      </c>
      <c r="S43" s="3">
        <f t="shared" ref="S43" si="357">R43*180/PI()</f>
        <v>15.546239639670416</v>
      </c>
      <c r="T43" s="3">
        <f t="shared" si="203"/>
        <v>0.30001638527191188</v>
      </c>
      <c r="U43" s="3">
        <f t="shared" ref="U43" si="358">T43*180/PI()</f>
        <v>17.189672660851421</v>
      </c>
      <c r="V43" s="3">
        <f t="shared" si="203"/>
        <v>0.32686548537478599</v>
      </c>
      <c r="W43" s="3">
        <f t="shared" ref="W43" si="359">V43*180/PI()</f>
        <v>18.728012780470372</v>
      </c>
      <c r="X43" s="3">
        <f t="shared" si="203"/>
        <v>0.3519197270209854</v>
      </c>
      <c r="Y43" s="3">
        <f t="shared" ref="Y43" si="360">X43*180/PI()</f>
        <v>20.163515085698499</v>
      </c>
      <c r="Z43" s="3">
        <f t="shared" si="203"/>
        <v>0.3752440946424197</v>
      </c>
      <c r="AA43" s="3">
        <f t="shared" ref="AA43" si="361">Z43*180/PI()</f>
        <v>21.499902910218278</v>
      </c>
      <c r="AB43" s="3">
        <f t="shared" si="203"/>
        <v>0.39692075742823935</v>
      </c>
      <c r="AC43" s="3">
        <f t="shared" ref="AC43" si="362">AB43*180/PI()</f>
        <v>22.741884201774031</v>
      </c>
      <c r="AD43" s="3">
        <f t="shared" si="203"/>
        <v>0.41704233446043959</v>
      </c>
      <c r="AE43" s="3">
        <f t="shared" ref="AE43:AG43" si="363">AD43*180/PI()</f>
        <v>23.894765642866481</v>
      </c>
      <c r="AF43" s="3">
        <f t="shared" si="203"/>
        <v>0.51056199477721498</v>
      </c>
      <c r="AG43" s="3">
        <f t="shared" si="363"/>
        <v>29.253047480514802</v>
      </c>
      <c r="AH43" s="3">
        <f t="shared" si="203"/>
        <v>0.59899553198275945</v>
      </c>
      <c r="AI43" s="3">
        <f t="shared" ref="AI43" si="364">AH43*180/PI()</f>
        <v>34.319915929805639</v>
      </c>
      <c r="AJ43" s="3">
        <f t="shared" si="203"/>
        <v>0.64535940669088465</v>
      </c>
      <c r="AK43" s="3">
        <f t="shared" ref="AK43" si="365">AJ43*180/PI()</f>
        <v>36.976370272454552</v>
      </c>
      <c r="AL43" s="3">
        <f t="shared" si="203"/>
        <v>0.71306855062576913</v>
      </c>
      <c r="AM43" s="3">
        <f t="shared" ref="AM43" si="366">AL43*180/PI()</f>
        <v>40.855818454367252</v>
      </c>
      <c r="AN43" s="3">
        <f t="shared" si="214"/>
        <v>0.73720470525262238</v>
      </c>
      <c r="AO43" s="3">
        <f t="shared" ref="AO43" si="367">AN43*180/PI()</f>
        <v>42.238718248161092</v>
      </c>
    </row>
    <row r="44" spans="2:41" ht="15.6" customHeight="1" x14ac:dyDescent="0.4">
      <c r="B44" s="9">
        <v>78</v>
      </c>
      <c r="C44" s="10">
        <f t="shared" si="0"/>
        <v>1.3613568165555769</v>
      </c>
      <c r="D44" s="3">
        <f t="shared" si="276"/>
        <v>2.5891592001802195E-2</v>
      </c>
      <c r="E44" s="3">
        <f t="shared" ref="E44" si="368">D44*180/PI()</f>
        <v>1.4834789465779445</v>
      </c>
      <c r="F44" s="3">
        <f t="shared" si="227"/>
        <v>5.9396066350139061E-2</v>
      </c>
      <c r="G44" s="3">
        <f t="shared" ref="G44" si="369">F44*180/PI()</f>
        <v>3.4031439215419756</v>
      </c>
      <c r="H44" s="3">
        <f t="shared" si="200"/>
        <v>9.26685327654201E-2</v>
      </c>
      <c r="I44" s="3">
        <f t="shared" si="185"/>
        <v>5.3095158211283549</v>
      </c>
      <c r="J44" s="3">
        <f t="shared" si="201"/>
        <v>0.12532478451943138</v>
      </c>
      <c r="K44" s="3">
        <f t="shared" si="186"/>
        <v>7.1805812213498932</v>
      </c>
      <c r="L44" s="3">
        <f t="shared" si="202"/>
        <v>0.15705443656775611</v>
      </c>
      <c r="M44" s="3">
        <f t="shared" si="187"/>
        <v>8.9985563691375283</v>
      </c>
      <c r="N44" s="3">
        <f t="shared" si="203"/>
        <v>0.18761954583109078</v>
      </c>
      <c r="O44" s="3">
        <f t="shared" si="188"/>
        <v>10.749808130282821</v>
      </c>
      <c r="P44" s="3">
        <f t="shared" si="203"/>
        <v>0.21684938015222371</v>
      </c>
      <c r="Q44" s="3">
        <f t="shared" si="188"/>
        <v>12.424554272750379</v>
      </c>
      <c r="R44" s="3">
        <f t="shared" si="203"/>
        <v>0.24463265672964449</v>
      </c>
      <c r="S44" s="3">
        <f t="shared" ref="S44" si="370">R44*180/PI()</f>
        <v>14.016418761681265</v>
      </c>
      <c r="T44" s="3">
        <f t="shared" si="203"/>
        <v>0.2709084897463801</v>
      </c>
      <c r="U44" s="3">
        <f t="shared" ref="U44" si="371">T44*180/PI()</f>
        <v>15.521913096730719</v>
      </c>
      <c r="V44" s="3">
        <f t="shared" si="203"/>
        <v>0.29565706043421408</v>
      </c>
      <c r="W44" s="3">
        <f t="shared" ref="W44" si="372">V44*180/PI()</f>
        <v>16.939901746124786</v>
      </c>
      <c r="X44" s="3">
        <f t="shared" si="203"/>
        <v>0.31889073886229641</v>
      </c>
      <c r="Y44" s="3">
        <f t="shared" ref="Y44" si="373">X44*180/PI()</f>
        <v>18.271093462618047</v>
      </c>
      <c r="Z44" s="3">
        <f t="shared" si="203"/>
        <v>0.34064611120467719</v>
      </c>
      <c r="AA44" s="3">
        <f t="shared" ref="AA44" si="374">Z44*180/PI()</f>
        <v>19.517584479572104</v>
      </c>
      <c r="AB44" s="3">
        <f t="shared" si="203"/>
        <v>0.36097713699255951</v>
      </c>
      <c r="AC44" s="3">
        <f t="shared" ref="AC44" si="375">AB44*180/PI()</f>
        <v>20.682466450389406</v>
      </c>
      <c r="AD44" s="3">
        <f t="shared" si="203"/>
        <v>0.37994949179285442</v>
      </c>
      <c r="AE44" s="3">
        <f t="shared" ref="AE44:AG44" si="376">AD44*180/PI()</f>
        <v>21.769502307871072</v>
      </c>
      <c r="AF44" s="3">
        <f t="shared" si="203"/>
        <v>0.46945946203394273</v>
      </c>
      <c r="AG44" s="3">
        <f t="shared" si="376"/>
        <v>26.898045827027026</v>
      </c>
      <c r="AH44" s="3">
        <f t="shared" si="203"/>
        <v>0.55625317386407613</v>
      </c>
      <c r="AI44" s="3">
        <f t="shared" ref="AI44" si="377">AH44*180/PI()</f>
        <v>31.870959203168354</v>
      </c>
      <c r="AJ44" s="3">
        <f t="shared" si="203"/>
        <v>0.60264044044561282</v>
      </c>
      <c r="AK44" s="3">
        <f t="shared" ref="AK44" si="378">AJ44*180/PI()</f>
        <v>34.528753801438647</v>
      </c>
      <c r="AL44" s="3">
        <f t="shared" si="203"/>
        <v>0.67150823596604514</v>
      </c>
      <c r="AM44" s="3">
        <f t="shared" ref="AM44" si="379">AL44*180/PI()</f>
        <v>38.474587829129376</v>
      </c>
      <c r="AN44" s="3">
        <f t="shared" si="214"/>
        <v>0.69638336157718483</v>
      </c>
      <c r="AO44" s="3">
        <f t="shared" ref="AO44" si="380">AN44*180/PI()</f>
        <v>39.899827541505466</v>
      </c>
    </row>
    <row r="45" spans="2:41" ht="15.6" customHeight="1" x14ac:dyDescent="0.4">
      <c r="B45" s="9">
        <v>80</v>
      </c>
      <c r="C45" s="10">
        <f t="shared" si="0"/>
        <v>1.3962634015954636</v>
      </c>
      <c r="D45" s="3">
        <f t="shared" si="276"/>
        <v>2.3926244324942135E-2</v>
      </c>
      <c r="E45" s="3">
        <f t="shared" ref="E45" si="381">D45*180/PI()</f>
        <v>1.3708728194180217</v>
      </c>
      <c r="F45" s="3">
        <f t="shared" si="227"/>
        <v>5.2472745324501684E-2</v>
      </c>
      <c r="G45" s="3">
        <f t="shared" ref="G45" si="382">F45*180/PI()</f>
        <v>3.0064668465587698</v>
      </c>
      <c r="H45" s="3">
        <f t="shared" si="200"/>
        <v>8.094821878395278E-2</v>
      </c>
      <c r="I45" s="3">
        <f t="shared" si="185"/>
        <v>4.6379912954221076</v>
      </c>
      <c r="J45" s="3">
        <f t="shared" si="201"/>
        <v>0.10903631506187247</v>
      </c>
      <c r="K45" s="3">
        <f t="shared" si="186"/>
        <v>6.2473206667040229</v>
      </c>
      <c r="L45" s="3">
        <f t="shared" si="202"/>
        <v>0.13647625915791786</v>
      </c>
      <c r="M45" s="3">
        <f t="shared" si="187"/>
        <v>7.8195136534823444</v>
      </c>
      <c r="N45" s="3">
        <f t="shared" si="203"/>
        <v>0.16306218224217392</v>
      </c>
      <c r="O45" s="3">
        <f t="shared" si="188"/>
        <v>9.3427748406696445</v>
      </c>
      <c r="P45" s="3">
        <f t="shared" si="203"/>
        <v>0.1886397771207263</v>
      </c>
      <c r="Q45" s="3">
        <f t="shared" si="188"/>
        <v>10.808263077306126</v>
      </c>
      <c r="R45" s="3">
        <f t="shared" si="203"/>
        <v>0.21310112159477146</v>
      </c>
      <c r="S45" s="3">
        <f t="shared" ref="S45" si="383">R45*180/PI()</f>
        <v>12.209794876884571</v>
      </c>
      <c r="T45" s="3">
        <f t="shared" si="203"/>
        <v>0.23637847139396836</v>
      </c>
      <c r="U45" s="3">
        <f t="shared" ref="U45" si="384">T45*180/PI()</f>
        <v>13.543488778628248</v>
      </c>
      <c r="V45" s="3">
        <f t="shared" si="203"/>
        <v>0.25843769723349858</v>
      </c>
      <c r="W45" s="3">
        <f t="shared" ref="W45" si="385">V45*180/PI()</f>
        <v>14.80738931855926</v>
      </c>
      <c r="X45" s="3">
        <f t="shared" si="203"/>
        <v>0.27927187492036032</v>
      </c>
      <c r="Y45" s="3">
        <f t="shared" ref="Y45" si="386">X45*180/PI()</f>
        <v>16.001099769642071</v>
      </c>
      <c r="Z45" s="3">
        <f t="shared" si="203"/>
        <v>0.29889536993181687</v>
      </c>
      <c r="AA45" s="3">
        <f t="shared" ref="AA45" si="387">Z45*180/PI()</f>
        <v>17.125443213094556</v>
      </c>
      <c r="AB45" s="3">
        <f t="shared" si="203"/>
        <v>0.31733861160509108</v>
      </c>
      <c r="AC45" s="3">
        <f t="shared" ref="AC45" si="388">AB45*180/PI()</f>
        <v>18.182163121512964</v>
      </c>
      <c r="AD45" s="3">
        <f t="shared" si="203"/>
        <v>0.33464363764138128</v>
      </c>
      <c r="AE45" s="3">
        <f t="shared" ref="AE45:AG45" si="389">AD45*180/PI()</f>
        <v>19.173668077756396</v>
      </c>
      <c r="AF45" s="3">
        <f t="shared" si="203"/>
        <v>0.41760004255423011</v>
      </c>
      <c r="AG45" s="3">
        <f t="shared" si="389"/>
        <v>23.926719962840963</v>
      </c>
      <c r="AH45" s="3">
        <f t="shared" si="203"/>
        <v>0.5002952089831697</v>
      </c>
      <c r="AI45" s="3">
        <f t="shared" ref="AI45" si="390">AH45*180/PI()</f>
        <v>28.664803985351135</v>
      </c>
      <c r="AJ45" s="3">
        <f t="shared" si="203"/>
        <v>0.54547953190071086</v>
      </c>
      <c r="AK45" s="3">
        <f t="shared" ref="AK45" si="391">AJ45*180/PI()</f>
        <v>31.253674988682487</v>
      </c>
      <c r="AL45" s="3">
        <f t="shared" si="203"/>
        <v>0.61390257140201321</v>
      </c>
      <c r="AM45" s="3">
        <f t="shared" ref="AM45" si="392">AL45*180/PI()</f>
        <v>35.174026373564026</v>
      </c>
      <c r="AN45" s="3">
        <f t="shared" si="214"/>
        <v>0.63902249677392353</v>
      </c>
      <c r="AO45" s="3">
        <f t="shared" ref="AO45" si="393">AN45*180/PI()</f>
        <v>36.613292079058084</v>
      </c>
    </row>
    <row r="46" spans="2:41" ht="15.6" customHeight="1" x14ac:dyDescent="0.4">
      <c r="B46" s="9">
        <v>82</v>
      </c>
      <c r="C46" s="10">
        <f t="shared" si="0"/>
        <v>1.43116998663535</v>
      </c>
      <c r="D46" s="3">
        <f t="shared" si="276"/>
        <v>2.0716970581727751E-2</v>
      </c>
      <c r="E46" s="3">
        <f t="shared" ref="E46" si="394">D46*180/PI()</f>
        <v>1.1869949786296861</v>
      </c>
      <c r="F46" s="3">
        <f t="shared" si="227"/>
        <v>4.3985921828534884E-2</v>
      </c>
      <c r="G46" s="3">
        <f t="shared" ref="G46" si="395">F46*180/PI()</f>
        <v>2.5202076787674095</v>
      </c>
      <c r="H46" s="3">
        <f t="shared" si="200"/>
        <v>6.7287517916457762E-2</v>
      </c>
      <c r="I46" s="3">
        <f t="shared" si="185"/>
        <v>3.8552907905239406</v>
      </c>
      <c r="J46" s="3">
        <f t="shared" si="201"/>
        <v>9.0373490104274964E-2</v>
      </c>
      <c r="K46" s="3">
        <f t="shared" si="186"/>
        <v>5.1780195628422652</v>
      </c>
      <c r="L46" s="3">
        <f t="shared" si="202"/>
        <v>0.11303604822359975</v>
      </c>
      <c r="M46" s="3">
        <f t="shared" si="187"/>
        <v>6.4764884960495124</v>
      </c>
      <c r="N46" s="3">
        <f t="shared" si="203"/>
        <v>0.13510745683215811</v>
      </c>
      <c r="O46" s="3">
        <f t="shared" si="188"/>
        <v>7.7410870572286195</v>
      </c>
      <c r="P46" s="3">
        <f t="shared" si="203"/>
        <v>0.15645784892996997</v>
      </c>
      <c r="Q46" s="3">
        <f t="shared" si="188"/>
        <v>8.9643744153827019</v>
      </c>
      <c r="R46" s="3">
        <f t="shared" si="203"/>
        <v>0.17699181188186747</v>
      </c>
      <c r="S46" s="3">
        <f t="shared" ref="S46" si="396">R46*180/PI()</f>
        <v>10.140883829204423</v>
      </c>
      <c r="T46" s="3">
        <f t="shared" si="203"/>
        <v>0.19664424752127252</v>
      </c>
      <c r="U46" s="3">
        <f t="shared" ref="U46" si="397">T46*180/PI()</f>
        <v>11.266885448494815</v>
      </c>
      <c r="V46" s="3">
        <f t="shared" si="203"/>
        <v>0.21537593202392422</v>
      </c>
      <c r="W46" s="3">
        <f t="shared" ref="W46" si="398">V46*180/PI()</f>
        <v>12.340131913667369</v>
      </c>
      <c r="X46" s="3">
        <f t="shared" si="203"/>
        <v>0.233169104500976</v>
      </c>
      <c r="Y46" s="3">
        <f t="shared" ref="Y46" si="399">X46*180/PI()</f>
        <v>13.359605600750772</v>
      </c>
      <c r="Z46" s="3">
        <f t="shared" si="203"/>
        <v>0.2500233149755105</v>
      </c>
      <c r="AA46" s="3">
        <f t="shared" ref="AA46" si="400">Z46*180/PI()</f>
        <v>14.325280727966785</v>
      </c>
      <c r="AB46" s="3">
        <f t="shared" si="203"/>
        <v>0.26595167464154595</v>
      </c>
      <c r="AC46" s="3">
        <f t="shared" ref="AC46" si="401">AB46*180/PI()</f>
        <v>15.237908511397025</v>
      </c>
      <c r="AD46" s="3">
        <f t="shared" si="203"/>
        <v>0.28097758019766178</v>
      </c>
      <c r="AE46" s="3">
        <f t="shared" ref="AE46:AG46" si="402">AD46*180/PI()</f>
        <v>16.098829483124636</v>
      </c>
      <c r="AF46" s="3">
        <f t="shared" si="203"/>
        <v>0.35418117365978402</v>
      </c>
      <c r="AG46" s="3">
        <f t="shared" si="402"/>
        <v>20.293086433695706</v>
      </c>
      <c r="AH46" s="3">
        <f t="shared" si="203"/>
        <v>0.42930730064557798</v>
      </c>
      <c r="AI46" s="3">
        <f t="shared" ref="AI46" si="403">AH46*180/PI()</f>
        <v>24.597496441145584</v>
      </c>
      <c r="AJ46" s="3">
        <f t="shared" si="203"/>
        <v>0.47136701955316213</v>
      </c>
      <c r="AK46" s="3">
        <f t="shared" ref="AK46" si="404">AJ46*180/PI()</f>
        <v>27.007340822056744</v>
      </c>
      <c r="AL46" s="3">
        <f t="shared" ref="AL46:AL50" si="405">ATAN(_xlfn.COT($C46)*((AL$3^2*(SIN($C46))^2-1)/(1+(((1.4+1)/(2))-(SIN($C46))^2)*AL$3^2)))</f>
        <v>0.53653727293284292</v>
      </c>
      <c r="AM46" s="3">
        <f t="shared" ref="AM46" si="406">AL46*180/PI()</f>
        <v>30.741321290510641</v>
      </c>
      <c r="AN46" s="3">
        <f t="shared" si="214"/>
        <v>0.56093300739831775</v>
      </c>
      <c r="AO46" s="3">
        <f t="shared" ref="AO46" si="407">AN46*180/PI()</f>
        <v>32.13909391350419</v>
      </c>
    </row>
    <row r="47" spans="2:41" ht="15.6" customHeight="1" x14ac:dyDescent="0.4">
      <c r="B47" s="9">
        <v>84</v>
      </c>
      <c r="C47" s="10">
        <f t="shared" si="0"/>
        <v>1.4660765716752369</v>
      </c>
      <c r="D47" s="3">
        <f t="shared" si="276"/>
        <v>1.6475561829985091E-2</v>
      </c>
      <c r="E47" s="3">
        <f t="shared" ref="E47" si="408">D47*180/PI()</f>
        <v>0.94398015796498091</v>
      </c>
      <c r="F47" s="3">
        <f t="shared" si="227"/>
        <v>3.4190114345399737E-2</v>
      </c>
      <c r="G47" s="3">
        <f t="shared" ref="G47" si="409">F47*180/PI()</f>
        <v>1.9589492530610964</v>
      </c>
      <c r="H47" s="3">
        <f t="shared" si="200"/>
        <v>5.1986254041596229E-2</v>
      </c>
      <c r="I47" s="3">
        <f t="shared" si="185"/>
        <v>2.978592949278382</v>
      </c>
      <c r="J47" s="3">
        <f t="shared" si="201"/>
        <v>6.9681926012739315E-2</v>
      </c>
      <c r="K47" s="3">
        <f t="shared" si="186"/>
        <v>3.9924802688728276</v>
      </c>
      <c r="L47" s="3">
        <f t="shared" si="202"/>
        <v>8.7123136050954925E-2</v>
      </c>
      <c r="M47" s="3">
        <f t="shared" si="187"/>
        <v>4.9917879936637872</v>
      </c>
      <c r="N47" s="3">
        <f t="shared" si="203"/>
        <v>0.10418359014746471</v>
      </c>
      <c r="O47" s="3">
        <f t="shared" si="188"/>
        <v>5.9692800099704746</v>
      </c>
      <c r="P47" s="3">
        <f t="shared" si="203"/>
        <v>0.12076323658978952</v>
      </c>
      <c r="Q47" s="3">
        <f t="shared" si="188"/>
        <v>6.9192237769347757</v>
      </c>
      <c r="R47" s="3">
        <f t="shared" si="203"/>
        <v>0.13678604562436664</v>
      </c>
      <c r="S47" s="3">
        <f t="shared" ref="S47" si="410">R47*180/PI()</f>
        <v>7.83726311056013</v>
      </c>
      <c r="T47" s="3">
        <f t="shared" si="203"/>
        <v>0.15219733214416697</v>
      </c>
      <c r="U47" s="3">
        <f t="shared" ref="U47" si="411">T47*180/PI()</f>
        <v>8.7202647850115476</v>
      </c>
      <c r="V47" s="3">
        <f t="shared" si="203"/>
        <v>0.1669608774913495</v>
      </c>
      <c r="W47" s="3">
        <f t="shared" ref="W47" si="412">V47*180/PI()</f>
        <v>9.5661536240551097</v>
      </c>
      <c r="X47" s="3">
        <f t="shared" si="203"/>
        <v>0.1810560489368718</v>
      </c>
      <c r="Y47" s="3">
        <f t="shared" ref="Y47" si="413">X47*180/PI()</f>
        <v>10.373747459396849</v>
      </c>
      <c r="Z47" s="3">
        <f t="shared" si="203"/>
        <v>0.19447505856938366</v>
      </c>
      <c r="AA47" s="3">
        <f t="shared" ref="AA47" si="414">Z47*180/PI()</f>
        <v>11.142600076585175</v>
      </c>
      <c r="AB47" s="3">
        <f t="shared" si="203"/>
        <v>0.20722045285133883</v>
      </c>
      <c r="AC47" s="3">
        <f t="shared" ref="AC47" si="415">AB47*180/PI()</f>
        <v>11.872857377171382</v>
      </c>
      <c r="AD47" s="3">
        <f t="shared" si="203"/>
        <v>0.2193028828009419</v>
      </c>
      <c r="AE47" s="3">
        <f t="shared" ref="AE47:AG47" si="416">AD47*180/PI()</f>
        <v>12.5651296195461</v>
      </c>
      <c r="AF47" s="3">
        <f t="shared" si="203"/>
        <v>0.27906583291293896</v>
      </c>
      <c r="AG47" s="3">
        <f t="shared" si="416"/>
        <v>15.989294432214422</v>
      </c>
      <c r="AH47" s="3">
        <f t="shared" si="203"/>
        <v>0.34216288534090705</v>
      </c>
      <c r="AI47" s="3">
        <f t="shared" ref="AI47" si="417">AH47*180/PI()</f>
        <v>19.604489236052679</v>
      </c>
      <c r="AJ47" s="3">
        <f t="shared" si="203"/>
        <v>0.37837864069967375</v>
      </c>
      <c r="AK47" s="3">
        <f t="shared" ref="AK47" si="418">AJ47*180/PI()</f>
        <v>21.679499169988304</v>
      </c>
      <c r="AL47" s="3">
        <f t="shared" si="405"/>
        <v>0.43590549706126497</v>
      </c>
      <c r="AM47" s="3">
        <f t="shared" ref="AM47" si="419">AL47*180/PI()</f>
        <v>24.975545248162792</v>
      </c>
      <c r="AN47" s="3">
        <f t="shared" si="214"/>
        <v>0.45791457620966075</v>
      </c>
      <c r="AO47" s="3">
        <f t="shared" ref="AO47" si="420">AN47*180/PI()</f>
        <v>26.236572594335257</v>
      </c>
    </row>
    <row r="48" spans="2:41" ht="15.6" customHeight="1" x14ac:dyDescent="0.4">
      <c r="B48" s="9">
        <v>86</v>
      </c>
      <c r="C48" s="10">
        <f t="shared" si="0"/>
        <v>1.5009831567151233</v>
      </c>
      <c r="D48" s="3">
        <f t="shared" si="276"/>
        <v>1.1437159319365982E-2</v>
      </c>
      <c r="E48" s="3">
        <f t="shared" ref="E48" si="421">D48*180/PI()</f>
        <v>0.655300958618388</v>
      </c>
      <c r="F48" s="3">
        <f t="shared" si="227"/>
        <v>2.3376171488022221E-2</v>
      </c>
      <c r="G48" s="3">
        <f t="shared" ref="G48" si="422">F48*180/PI()</f>
        <v>1.3393559674377227</v>
      </c>
      <c r="H48" s="3">
        <f t="shared" si="200"/>
        <v>3.5398686954169638E-2</v>
      </c>
      <c r="I48" s="3">
        <f t="shared" si="185"/>
        <v>2.0281953627787273</v>
      </c>
      <c r="J48" s="3">
        <f t="shared" si="201"/>
        <v>4.738587707560999E-2</v>
      </c>
      <c r="K48" s="3">
        <f t="shared" si="186"/>
        <v>2.7150107649581723</v>
      </c>
      <c r="L48" s="3">
        <f t="shared" si="202"/>
        <v>5.9236561056684713E-2</v>
      </c>
      <c r="M48" s="3">
        <f t="shared" si="187"/>
        <v>3.3940049414170459</v>
      </c>
      <c r="N48" s="3">
        <f t="shared" si="203"/>
        <v>7.086690533365618E-2</v>
      </c>
      <c r="O48" s="3">
        <f t="shared" si="188"/>
        <v>4.060374582771642</v>
      </c>
      <c r="P48" s="3">
        <f t="shared" si="203"/>
        <v>8.2209495905305879E-2</v>
      </c>
      <c r="Q48" s="3">
        <f t="shared" si="188"/>
        <v>4.7102571512720495</v>
      </c>
      <c r="R48" s="3">
        <f t="shared" si="203"/>
        <v>9.3211981664540366E-2</v>
      </c>
      <c r="S48" s="3">
        <f t="shared" ref="S48" si="423">R48*180/PI()</f>
        <v>5.3406531494289773</v>
      </c>
      <c r="T48" s="3">
        <f t="shared" si="203"/>
        <v>0.10383546336883559</v>
      </c>
      <c r="U48" s="3">
        <f t="shared" ref="U48" si="424">T48*180/PI()</f>
        <v>5.94933381481954</v>
      </c>
      <c r="V48" s="3">
        <f t="shared" si="203"/>
        <v>0.11405277164010739</v>
      </c>
      <c r="W48" s="3">
        <f t="shared" ref="W48" si="425">V48*180/PI()</f>
        <v>6.5347424567475212</v>
      </c>
      <c r="X48" s="3">
        <f t="shared" si="203"/>
        <v>0.12384674398647551</v>
      </c>
      <c r="Y48" s="3">
        <f t="shared" ref="Y48" si="426">X48*180/PI()</f>
        <v>7.0958957368622553</v>
      </c>
      <c r="Z48" s="3">
        <f t="shared" si="203"/>
        <v>0.13320857925297078</v>
      </c>
      <c r="AA48" s="3">
        <f t="shared" ref="AA48" si="427">Z48*180/PI()</f>
        <v>7.6322893861291661</v>
      </c>
      <c r="AB48" s="3">
        <f t="shared" si="203"/>
        <v>0.14213632047616187</v>
      </c>
      <c r="AC48" s="3">
        <f t="shared" ref="AC48" si="428">AB48*180/PI()</f>
        <v>8.1438112788029784</v>
      </c>
      <c r="AD48" s="3">
        <f t="shared" si="203"/>
        <v>0.15063349486777805</v>
      </c>
      <c r="AE48" s="3">
        <f t="shared" ref="AE48:AG48" si="429">AD48*180/PI()</f>
        <v>8.6306635092292279</v>
      </c>
      <c r="AF48" s="3">
        <f t="shared" si="203"/>
        <v>0.19319716605518469</v>
      </c>
      <c r="AG48" s="3">
        <f t="shared" si="429"/>
        <v>11.069382228850216</v>
      </c>
      <c r="AH48" s="3">
        <f t="shared" si="203"/>
        <v>0.2392489458313484</v>
      </c>
      <c r="AI48" s="3">
        <f t="shared" ref="AI48" si="430">AH48*180/PI()</f>
        <v>13.707954849090314</v>
      </c>
      <c r="AJ48" s="3">
        <f t="shared" si="203"/>
        <v>0.26628189168692618</v>
      </c>
      <c r="AK48" s="3">
        <f t="shared" ref="AK48" si="431">AJ48*180/PI()</f>
        <v>15.25682855442059</v>
      </c>
      <c r="AL48" s="3">
        <f t="shared" si="405"/>
        <v>0.31025240806574117</v>
      </c>
      <c r="AM48" s="3">
        <f t="shared" ref="AM48" si="432">AL48*180/PI()</f>
        <v>17.776153565937548</v>
      </c>
      <c r="AN48" s="3">
        <f t="shared" si="214"/>
        <v>0.32744148126387962</v>
      </c>
      <c r="AO48" s="3">
        <f t="shared" ref="AO48" si="433">AN48*180/PI()</f>
        <v>18.761014913932325</v>
      </c>
    </row>
    <row r="49" spans="2:41" ht="15.6" customHeight="1" x14ac:dyDescent="0.4">
      <c r="B49" s="9">
        <v>88</v>
      </c>
      <c r="C49" s="10">
        <f t="shared" si="0"/>
        <v>1.5358897417550099</v>
      </c>
      <c r="D49" s="3">
        <f t="shared" si="276"/>
        <v>5.8560254176612415E-3</v>
      </c>
      <c r="E49" s="3">
        <f t="shared" ref="E49" si="434">D49*180/PI()</f>
        <v>0.33552554115332434</v>
      </c>
      <c r="F49" s="3">
        <f t="shared" si="227"/>
        <v>1.1865188866586327E-2</v>
      </c>
      <c r="G49" s="3">
        <f t="shared" ref="G49" si="435">F49*180/PI()</f>
        <v>0.6798252451810094</v>
      </c>
      <c r="H49" s="3">
        <f t="shared" si="200"/>
        <v>1.7925247244512305E-2</v>
      </c>
      <c r="I49" s="3">
        <f t="shared" si="185"/>
        <v>1.0270410138390633</v>
      </c>
      <c r="J49" s="3">
        <f t="shared" si="201"/>
        <v>2.3977676460974331E-2</v>
      </c>
      <c r="K49" s="3">
        <f t="shared" si="186"/>
        <v>1.3738196637440094</v>
      </c>
      <c r="L49" s="3">
        <f t="shared" si="202"/>
        <v>2.9972470496258345E-2</v>
      </c>
      <c r="M49" s="3">
        <f t="shared" si="187"/>
        <v>1.7172960610159833</v>
      </c>
      <c r="N49" s="3">
        <f t="shared" si="203"/>
        <v>3.5867965094127423E-2</v>
      </c>
      <c r="O49" s="3">
        <f t="shared" si="188"/>
        <v>2.0550830196160579</v>
      </c>
      <c r="P49" s="3">
        <f t="shared" si="203"/>
        <v>4.1630378231042854E-2</v>
      </c>
      <c r="Q49" s="3">
        <f t="shared" si="188"/>
        <v>2.3852449721720532</v>
      </c>
      <c r="R49" s="3">
        <f t="shared" si="203"/>
        <v>4.7233160048054945E-2</v>
      </c>
      <c r="S49" s="3">
        <f t="shared" ref="S49" si="436">R49*180/PI()</f>
        <v>2.7062607238194851</v>
      </c>
      <c r="T49" s="3">
        <f t="shared" si="203"/>
        <v>5.2656231944301468E-2</v>
      </c>
      <c r="U49" s="3">
        <f t="shared" ref="U49" si="437">T49*180/PI()</f>
        <v>3.016979855470419</v>
      </c>
      <c r="V49" s="3">
        <f t="shared" si="203"/>
        <v>5.7885179070288791E-2</v>
      </c>
      <c r="W49" s="3">
        <f t="shared" ref="W49" si="438">V49*180/PI()</f>
        <v>3.3165764570865539</v>
      </c>
      <c r="X49" s="3">
        <f t="shared" si="203"/>
        <v>6.2910444846543595E-2</v>
      </c>
      <c r="Y49" s="3">
        <f t="shared" ref="Y49" si="439">X49*180/PI()</f>
        <v>3.6045029769974879</v>
      </c>
      <c r="Z49" s="3">
        <f t="shared" si="203"/>
        <v>6.7726561866258056E-2</v>
      </c>
      <c r="AA49" s="3">
        <f t="shared" ref="AA49" si="440">Z49*180/PI()</f>
        <v>3.8804461558682508</v>
      </c>
      <c r="AB49" s="3">
        <f t="shared" si="203"/>
        <v>7.2331441418681378E-2</v>
      </c>
      <c r="AC49" s="3">
        <f t="shared" ref="AC49" si="441">AB49*180/PI()</f>
        <v>4.1442863193881987</v>
      </c>
      <c r="AD49" s="3">
        <f t="shared" si="203"/>
        <v>7.6725734171245633E-2</v>
      </c>
      <c r="AE49" s="3">
        <f t="shared" ref="AE49:AG49" si="442">AD49*180/PI()</f>
        <v>4.3960607480550555</v>
      </c>
      <c r="AF49" s="3">
        <f t="shared" si="203"/>
        <v>9.8924404957206141E-2</v>
      </c>
      <c r="AG49" s="3">
        <f t="shared" si="442"/>
        <v>5.6679508948909509</v>
      </c>
      <c r="AH49" s="3">
        <f t="shared" si="203"/>
        <v>0.12335031556863431</v>
      </c>
      <c r="AI49" s="3">
        <f t="shared" ref="AI49" si="443">AH49*180/PI()</f>
        <v>7.0674524836895971</v>
      </c>
      <c r="AJ49" s="3">
        <f t="shared" si="203"/>
        <v>0.13792024428528088</v>
      </c>
      <c r="AK49" s="3">
        <f t="shared" ref="AK49" si="444">AJ49*180/PI()</f>
        <v>7.9022479069599054</v>
      </c>
      <c r="AL49" s="3">
        <f t="shared" si="405"/>
        <v>0.16204246121452648</v>
      </c>
      <c r="AM49" s="3">
        <f t="shared" ref="AM49" si="445">AL49*180/PI()</f>
        <v>9.2843491295047027</v>
      </c>
      <c r="AN49" s="3">
        <f t="shared" si="214"/>
        <v>0.17163026143630525</v>
      </c>
      <c r="AO49" s="3">
        <f t="shared" ref="AO49" si="446">AN49*180/PI()</f>
        <v>9.8336896170272219</v>
      </c>
    </row>
    <row r="50" spans="2:41" ht="15.6" customHeight="1" x14ac:dyDescent="0.4">
      <c r="B50" s="9">
        <v>90</v>
      </c>
      <c r="C50" s="10">
        <f t="shared" si="0"/>
        <v>1.5707963267948966</v>
      </c>
      <c r="D50" s="3">
        <f t="shared" si="276"/>
        <v>1.0357535246812013E-17</v>
      </c>
      <c r="E50" s="3">
        <f t="shared" ref="E50" si="447">D50*180/PI()</f>
        <v>5.9344305580031988E-16</v>
      </c>
      <c r="F50" s="3">
        <f t="shared" si="227"/>
        <v>2.0926448763967115E-17</v>
      </c>
      <c r="G50" s="3">
        <f t="shared" ref="G50" si="448">F50*180/PI()</f>
        <v>1.1989971943720741E-15</v>
      </c>
      <c r="H50" s="3">
        <f t="shared" si="200"/>
        <v>3.159015074315949E-17</v>
      </c>
      <c r="I50" s="3">
        <f t="shared" si="185"/>
        <v>1.8099823117650998E-15</v>
      </c>
      <c r="J50" s="3">
        <f t="shared" si="201"/>
        <v>4.2246498445124819E-17</v>
      </c>
      <c r="K50" s="3">
        <f t="shared" si="186"/>
        <v>2.4205460601116465E-15</v>
      </c>
      <c r="L50" s="3">
        <f t="shared" si="202"/>
        <v>5.2808123056406037E-17</v>
      </c>
      <c r="M50" s="3">
        <f t="shared" si="187"/>
        <v>3.0256825751395592E-15</v>
      </c>
      <c r="N50" s="3">
        <f t="shared" si="203"/>
        <v>6.3202102832587566E-17</v>
      </c>
      <c r="O50" s="3">
        <f t="shared" si="188"/>
        <v>3.6212137486590931E-15</v>
      </c>
      <c r="P50" s="3">
        <f t="shared" si="203"/>
        <v>7.3369156520193021E-17</v>
      </c>
      <c r="Q50" s="3">
        <f t="shared" si="188"/>
        <v>4.2037430150418051E-15</v>
      </c>
      <c r="R50" s="3">
        <f t="shared" si="203"/>
        <v>8.3262516353013031E-17</v>
      </c>
      <c r="S50" s="3">
        <f t="shared" ref="S50" si="449">R50*180/PI()</f>
        <v>4.7705907786666459E-15</v>
      </c>
      <c r="T50" s="3">
        <f t="shared" si="203"/>
        <v>9.2846616356315278E-17</v>
      </c>
      <c r="U50" s="3">
        <f t="shared" ref="U50" si="450">T50*180/PI()</f>
        <v>5.3197192592871826E-15</v>
      </c>
      <c r="V50" s="3">
        <f t="shared" si="203"/>
        <v>1.0209570457571834E-16</v>
      </c>
      <c r="W50" s="3">
        <f t="shared" ref="W50" si="451">V50*180/PI()</f>
        <v>5.8496529786031476E-15</v>
      </c>
      <c r="X50" s="3">
        <f t="shared" si="203"/>
        <v>1.1099246097870337E-16</v>
      </c>
      <c r="Y50" s="3">
        <f t="shared" ref="Y50" si="452">X50*180/PI()</f>
        <v>6.3593995718501818E-15</v>
      </c>
      <c r="Z50" s="3">
        <f t="shared" si="203"/>
        <v>1.1952667852767028E-16</v>
      </c>
      <c r="AA50" s="3">
        <f t="shared" ref="AA50" si="453">Z50*180/PI()</f>
        <v>6.8483742188524674E-15</v>
      </c>
      <c r="AB50" s="3">
        <f t="shared" si="203"/>
        <v>1.2769404449849319E-16</v>
      </c>
      <c r="AC50" s="3">
        <f t="shared" ref="AC50" si="454">AB50*180/PI()</f>
        <v>7.3163298187193888E-15</v>
      </c>
      <c r="AD50" s="3">
        <f t="shared" si="203"/>
        <v>1.354950428755816E-16</v>
      </c>
      <c r="AE50" s="3">
        <f t="shared" ref="AE50:AG50" si="455">AD50*180/PI()</f>
        <v>7.7632941017149584E-15</v>
      </c>
      <c r="AF50" s="3">
        <f t="shared" si="203"/>
        <v>1.7502120784408857E-16</v>
      </c>
      <c r="AG50" s="3">
        <f t="shared" si="455"/>
        <v>1.0027976534748254E-14</v>
      </c>
      <c r="AH50" s="3">
        <f t="shared" si="203"/>
        <v>2.1877650980511074E-16</v>
      </c>
      <c r="AI50" s="3">
        <f t="shared" ref="AI50" si="456">AH50*180/PI()</f>
        <v>1.2534970668435317E-14</v>
      </c>
      <c r="AJ50" s="3">
        <f t="shared" si="203"/>
        <v>2.4502969098172405E-16</v>
      </c>
      <c r="AK50" s="3">
        <f t="shared" ref="AK50" si="457">AJ50*180/PI()</f>
        <v>1.4039167148647556E-14</v>
      </c>
      <c r="AL50" s="3">
        <f t="shared" si="405"/>
        <v>2.8878499294274623E-16</v>
      </c>
      <c r="AM50" s="3">
        <f t="shared" ref="AM50" si="458">AL50*180/PI()</f>
        <v>1.6546161282334624E-14</v>
      </c>
      <c r="AN50" s="3">
        <f t="shared" si="214"/>
        <v>3.062871135433828E-16</v>
      </c>
      <c r="AO50" s="3">
        <f t="shared" ref="AO50" si="459">AN50*180/PI()</f>
        <v>1.7548958925280073E-14</v>
      </c>
    </row>
  </sheetData>
  <mergeCells count="21">
    <mergeCell ref="AJ3:AK3"/>
    <mergeCell ref="AL3:AM3"/>
    <mergeCell ref="AN3:AO3"/>
    <mergeCell ref="D2:AO2"/>
    <mergeCell ref="Z3:AA3"/>
    <mergeCell ref="AB3:AC3"/>
    <mergeCell ref="AD3:AE3"/>
    <mergeCell ref="AF3:AG3"/>
    <mergeCell ref="AH3:AI3"/>
    <mergeCell ref="N3:O3"/>
    <mergeCell ref="P3:Q3"/>
    <mergeCell ref="R3:S3"/>
    <mergeCell ref="T3:U3"/>
    <mergeCell ref="V3:W3"/>
    <mergeCell ref="X3:Y3"/>
    <mergeCell ref="D3:E3"/>
    <mergeCell ref="B2:C3"/>
    <mergeCell ref="F3:G3"/>
    <mergeCell ref="H3:I3"/>
    <mergeCell ref="J3:K3"/>
    <mergeCell ref="L3:M3"/>
  </mergeCells>
  <pageMargins left="0.7" right="0.7" top="0.78740157499999996" bottom="0.78740157499999996" header="0.3" footer="0.3"/>
  <ignoredErrors>
    <ignoredError sqref="H30:O30 E37:M50 P23:AE50 N31:O50 AF14:AO50 F33:M36 H31:M32 J27:O29 L25:O26 N24:O24 R21:AE22 T20:AE20 V19:AE19 Z18:AE18 AB17:AE17 AH12:AO13 AJ10:AO11 AL7:AO9 AN6:AO6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5A72-F308-4BD9-B417-7604850B60FE}">
  <dimension ref="B2:K62"/>
  <sheetViews>
    <sheetView zoomScale="85" zoomScaleNormal="85" workbookViewId="0">
      <selection activeCell="V2" sqref="V2"/>
    </sheetView>
  </sheetViews>
  <sheetFormatPr baseColWidth="10" defaultColWidth="11.5546875" defaultRowHeight="15.6" x14ac:dyDescent="0.4"/>
  <cols>
    <col min="1" max="1" width="2.6640625" style="1" customWidth="1"/>
    <col min="2" max="3" width="8.88671875" style="1" customWidth="1"/>
    <col min="4" max="11" width="13.88671875" style="1" customWidth="1"/>
    <col min="12" max="12" width="2.6640625" style="1" customWidth="1"/>
    <col min="13" max="16384" width="11.5546875" style="1"/>
  </cols>
  <sheetData>
    <row r="2" spans="2:11" x14ac:dyDescent="0.4">
      <c r="B2" s="36" t="s">
        <v>3</v>
      </c>
      <c r="C2" s="37"/>
      <c r="D2" s="31" t="s">
        <v>2</v>
      </c>
      <c r="E2" s="31"/>
      <c r="F2" s="31"/>
      <c r="G2" s="31"/>
      <c r="H2" s="31"/>
      <c r="I2" s="31"/>
      <c r="J2" s="31"/>
      <c r="K2" s="31"/>
    </row>
    <row r="3" spans="2:11" x14ac:dyDescent="0.4">
      <c r="B3" s="38"/>
      <c r="C3" s="39"/>
      <c r="D3" s="7">
        <v>0</v>
      </c>
      <c r="E3" s="7">
        <v>5</v>
      </c>
      <c r="F3" s="7">
        <v>10</v>
      </c>
      <c r="G3" s="7">
        <v>15</v>
      </c>
      <c r="H3" s="7">
        <v>20</v>
      </c>
      <c r="I3" s="7">
        <v>25</v>
      </c>
      <c r="J3" s="7">
        <v>30</v>
      </c>
      <c r="K3" s="7">
        <v>35</v>
      </c>
    </row>
    <row r="4" spans="2:11" x14ac:dyDescent="0.4">
      <c r="B4" s="6" t="s">
        <v>0</v>
      </c>
      <c r="C4" s="6" t="s">
        <v>1</v>
      </c>
      <c r="D4" s="8">
        <f>D3*PI()/180</f>
        <v>0</v>
      </c>
      <c r="E4" s="8">
        <f t="shared" ref="E4" si="0">E3*PI()/180</f>
        <v>8.7266462599716474E-2</v>
      </c>
      <c r="F4" s="8">
        <f t="shared" ref="F4" si="1">F3*PI()/180</f>
        <v>0.17453292519943295</v>
      </c>
      <c r="G4" s="8">
        <f t="shared" ref="G4" si="2">G3*PI()/180</f>
        <v>0.26179938779914941</v>
      </c>
      <c r="H4" s="8">
        <f t="shared" ref="H4" si="3">H3*PI()/180</f>
        <v>0.3490658503988659</v>
      </c>
      <c r="I4" s="8">
        <f t="shared" ref="I4" si="4">I3*PI()/180</f>
        <v>0.43633231299858238</v>
      </c>
      <c r="J4" s="8">
        <f t="shared" ref="J4" si="5">J3*PI()/180</f>
        <v>0.52359877559829882</v>
      </c>
      <c r="K4" s="8">
        <f t="shared" ref="K4" si="6">K3*PI()/180</f>
        <v>0.6108652381980153</v>
      </c>
    </row>
    <row r="5" spans="2:11" x14ac:dyDescent="0.4">
      <c r="B5" s="9">
        <v>10</v>
      </c>
      <c r="C5" s="9">
        <f>B5*PI()/180</f>
        <v>0.17453292519943295</v>
      </c>
      <c r="D5" s="5"/>
      <c r="E5" s="5"/>
      <c r="F5" s="5"/>
      <c r="G5" s="5"/>
      <c r="H5" s="5"/>
      <c r="I5" s="5"/>
      <c r="J5" s="5"/>
      <c r="K5" s="5"/>
    </row>
    <row r="6" spans="2:11" x14ac:dyDescent="0.4">
      <c r="B6" s="9">
        <v>10.5</v>
      </c>
      <c r="C6" s="9">
        <f t="shared" ref="C6:C17" si="7">B6*PI()/180</f>
        <v>0.18325957145940461</v>
      </c>
      <c r="D6" s="5"/>
      <c r="E6" s="5"/>
      <c r="F6" s="5"/>
      <c r="G6" s="5"/>
      <c r="H6" s="5"/>
      <c r="I6" s="5"/>
      <c r="J6" s="5"/>
      <c r="K6" s="5"/>
    </row>
    <row r="7" spans="2:11" x14ac:dyDescent="0.4">
      <c r="B7" s="9">
        <v>11</v>
      </c>
      <c r="C7" s="9">
        <f t="shared" si="7"/>
        <v>0.19198621771937624</v>
      </c>
      <c r="D7" s="5"/>
      <c r="E7" s="5"/>
      <c r="F7" s="5"/>
      <c r="G7" s="5"/>
      <c r="H7" s="5"/>
      <c r="I7" s="5"/>
      <c r="J7" s="5"/>
      <c r="K7" s="5"/>
    </row>
    <row r="8" spans="2:11" x14ac:dyDescent="0.4">
      <c r="B8" s="9">
        <v>11.5</v>
      </c>
      <c r="C8" s="9">
        <f t="shared" si="7"/>
        <v>0.20071286397934787</v>
      </c>
      <c r="D8" s="5"/>
      <c r="E8" s="5"/>
      <c r="F8" s="5"/>
      <c r="G8" s="5"/>
      <c r="H8" s="5"/>
      <c r="I8" s="5"/>
      <c r="J8" s="5"/>
      <c r="K8" s="5"/>
    </row>
    <row r="9" spans="2:11" x14ac:dyDescent="0.4">
      <c r="B9" s="9">
        <v>12</v>
      </c>
      <c r="C9" s="9">
        <f t="shared" si="7"/>
        <v>0.20943951023931953</v>
      </c>
      <c r="D9" s="5"/>
      <c r="E9" s="5"/>
      <c r="F9" s="5"/>
      <c r="G9" s="5"/>
      <c r="H9" s="5"/>
      <c r="I9" s="5"/>
      <c r="J9" s="5"/>
      <c r="K9" s="5"/>
    </row>
    <row r="10" spans="2:11" x14ac:dyDescent="0.4">
      <c r="B10" s="9">
        <v>12.5</v>
      </c>
      <c r="C10" s="9">
        <f t="shared" si="7"/>
        <v>0.21816615649929119</v>
      </c>
      <c r="D10" s="5"/>
      <c r="E10" s="5"/>
      <c r="F10" s="5"/>
      <c r="G10" s="5"/>
      <c r="H10" s="5"/>
      <c r="I10" s="5"/>
      <c r="J10" s="5"/>
      <c r="K10" s="5"/>
    </row>
    <row r="11" spans="2:11" x14ac:dyDescent="0.4">
      <c r="B11" s="9">
        <v>13</v>
      </c>
      <c r="C11" s="9">
        <f t="shared" si="7"/>
        <v>0.22689280275926285</v>
      </c>
      <c r="D11" s="5"/>
      <c r="E11" s="5"/>
      <c r="F11" s="5"/>
      <c r="G11" s="5"/>
      <c r="H11" s="5"/>
      <c r="I11" s="5"/>
      <c r="J11" s="5"/>
      <c r="K11" s="5"/>
    </row>
    <row r="12" spans="2:11" x14ac:dyDescent="0.4">
      <c r="B12" s="9">
        <v>13.5</v>
      </c>
      <c r="C12" s="9">
        <f t="shared" si="7"/>
        <v>0.23561944901923448</v>
      </c>
      <c r="D12" s="5"/>
      <c r="E12" s="5"/>
      <c r="F12" s="5"/>
      <c r="G12" s="5"/>
      <c r="H12" s="5"/>
      <c r="I12" s="5"/>
      <c r="J12" s="5"/>
      <c r="K12" s="5"/>
    </row>
    <row r="13" spans="2:11" x14ac:dyDescent="0.4">
      <c r="B13" s="9">
        <v>14</v>
      </c>
      <c r="C13" s="9">
        <f t="shared" si="7"/>
        <v>0.24434609527920614</v>
      </c>
      <c r="D13" s="5"/>
      <c r="E13" s="5"/>
      <c r="F13" s="5"/>
      <c r="G13" s="5"/>
      <c r="H13" s="5"/>
      <c r="I13" s="5"/>
      <c r="J13" s="5"/>
      <c r="K13" s="5"/>
    </row>
    <row r="14" spans="2:11" x14ac:dyDescent="0.4">
      <c r="B14" s="9">
        <v>14.5</v>
      </c>
      <c r="C14" s="9">
        <f t="shared" si="7"/>
        <v>0.2530727415391778</v>
      </c>
      <c r="D14" s="5"/>
      <c r="E14" s="5"/>
      <c r="F14" s="5"/>
      <c r="G14" s="5"/>
      <c r="H14" s="5"/>
      <c r="I14" s="5"/>
      <c r="J14" s="5"/>
      <c r="K14" s="5"/>
    </row>
    <row r="15" spans="2:11" x14ac:dyDescent="0.4">
      <c r="B15" s="9">
        <v>15</v>
      </c>
      <c r="C15" s="9">
        <f t="shared" si="7"/>
        <v>0.26179938779914941</v>
      </c>
      <c r="D15" s="5"/>
      <c r="E15" s="5"/>
      <c r="F15" s="5"/>
      <c r="G15" s="5"/>
      <c r="H15" s="5"/>
      <c r="I15" s="5"/>
      <c r="J15" s="5"/>
      <c r="K15" s="5"/>
    </row>
    <row r="16" spans="2:11" x14ac:dyDescent="0.4">
      <c r="B16" s="9">
        <v>15.5</v>
      </c>
      <c r="C16" s="9">
        <f t="shared" si="7"/>
        <v>0.27052603405912107</v>
      </c>
      <c r="D16" s="5"/>
      <c r="E16" s="5"/>
      <c r="F16" s="5"/>
      <c r="G16" s="5"/>
      <c r="H16" s="5"/>
      <c r="I16" s="5"/>
      <c r="J16" s="5"/>
      <c r="K16" s="5"/>
    </row>
    <row r="17" spans="2:11" x14ac:dyDescent="0.4">
      <c r="B17" s="9">
        <v>16</v>
      </c>
      <c r="C17" s="9">
        <f t="shared" si="7"/>
        <v>0.27925268031909273</v>
      </c>
      <c r="D17" s="5">
        <f t="shared" ref="D6:D17" si="8">1/SIN($C17)</f>
        <v>3.6279552785433005</v>
      </c>
      <c r="E17" s="5"/>
      <c r="F17" s="5"/>
      <c r="G17" s="5"/>
      <c r="H17" s="5"/>
      <c r="I17" s="5"/>
      <c r="J17" s="5"/>
      <c r="K17" s="5"/>
    </row>
    <row r="18" spans="2:11" x14ac:dyDescent="0.4">
      <c r="B18" s="9">
        <v>17</v>
      </c>
      <c r="C18" s="9">
        <f t="shared" ref="C18:C61" si="9">B18*PI()/180</f>
        <v>0.29670597283903605</v>
      </c>
      <c r="D18" s="5">
        <f t="shared" ref="D18:D61" si="10">1/SIN($C18)</f>
        <v>3.4203036198332684</v>
      </c>
      <c r="E18" s="5"/>
      <c r="F18" s="5"/>
      <c r="G18" s="5"/>
      <c r="H18" s="5"/>
      <c r="I18" s="5"/>
      <c r="J18" s="5"/>
      <c r="K18" s="5"/>
    </row>
    <row r="19" spans="2:11" x14ac:dyDescent="0.4">
      <c r="B19" s="9">
        <v>18</v>
      </c>
      <c r="C19" s="9">
        <f t="shared" si="9"/>
        <v>0.31415926535897931</v>
      </c>
      <c r="D19" s="5">
        <f t="shared" si="10"/>
        <v>3.2360679774997898</v>
      </c>
      <c r="E19" s="5"/>
      <c r="F19" s="5"/>
      <c r="G19" s="5"/>
      <c r="H19" s="5"/>
      <c r="I19" s="5"/>
      <c r="J19" s="5"/>
      <c r="K19" s="5"/>
    </row>
    <row r="20" spans="2:11" x14ac:dyDescent="0.4">
      <c r="B20" s="9">
        <v>20</v>
      </c>
      <c r="C20" s="9">
        <f t="shared" si="9"/>
        <v>0.3490658503988659</v>
      </c>
      <c r="D20" s="5">
        <f t="shared" si="10"/>
        <v>2.9238044001630876</v>
      </c>
      <c r="E20" s="5">
        <f t="shared" ref="E18:E58" si="11">0.295785*SQRT((11.4301*COS($C20)+SIN($C20))/(SIN($C20)*(-0.087489*(COS($C20))^2+SIN($C20)*COS($C20)-0.017498)))</f>
        <v>3.5367613613854618</v>
      </c>
      <c r="F20" s="5"/>
      <c r="G20" s="5"/>
      <c r="H20" s="5"/>
      <c r="I20" s="5"/>
      <c r="J20" s="5"/>
      <c r="K20" s="5"/>
    </row>
    <row r="21" spans="2:11" x14ac:dyDescent="0.4">
      <c r="B21" s="9">
        <v>22</v>
      </c>
      <c r="C21" s="9">
        <f t="shared" si="9"/>
        <v>0.38397243543875248</v>
      </c>
      <c r="D21" s="5">
        <f t="shared" si="10"/>
        <v>2.6694671625540143</v>
      </c>
      <c r="E21" s="5">
        <f t="shared" si="11"/>
        <v>3.1724414405602719</v>
      </c>
      <c r="F21" s="5"/>
      <c r="G21" s="5"/>
      <c r="H21" s="5"/>
      <c r="I21" s="5"/>
      <c r="J21" s="5"/>
      <c r="K21" s="5"/>
    </row>
    <row r="22" spans="2:11" x14ac:dyDescent="0.4">
      <c r="B22" s="9">
        <v>24</v>
      </c>
      <c r="C22" s="9">
        <f t="shared" si="9"/>
        <v>0.41887902047863906</v>
      </c>
      <c r="D22" s="5">
        <f t="shared" si="10"/>
        <v>2.4585933355742386</v>
      </c>
      <c r="E22" s="5">
        <f t="shared" si="11"/>
        <v>2.8814331535021172</v>
      </c>
      <c r="F22" s="5">
        <f t="shared" ref="F18:F56" si="12">0.419913*SQRT((5.67128*COS($C22)+SIN($C22))/(SIN($C22)*(-0.176327*(COS($C22))^2+SIN($C22)*COS($C22)-0.035265)))</f>
        <v>3.5786169115837394</v>
      </c>
      <c r="G22" s="5"/>
      <c r="H22" s="5"/>
      <c r="I22" s="5"/>
      <c r="J22" s="5"/>
      <c r="K22" s="5"/>
    </row>
    <row r="23" spans="2:11" x14ac:dyDescent="0.4">
      <c r="B23" s="9">
        <v>26</v>
      </c>
      <c r="C23" s="9">
        <f t="shared" si="9"/>
        <v>0.4537856055185257</v>
      </c>
      <c r="D23" s="5">
        <f t="shared" si="10"/>
        <v>2.2811720327048595</v>
      </c>
      <c r="E23" s="5">
        <f t="shared" si="11"/>
        <v>2.643888248688715</v>
      </c>
      <c r="F23" s="5">
        <f t="shared" si="12"/>
        <v>3.2084680611427348</v>
      </c>
      <c r="G23" s="5"/>
      <c r="H23" s="5"/>
      <c r="I23" s="5"/>
      <c r="J23" s="5"/>
      <c r="K23" s="5"/>
    </row>
    <row r="24" spans="2:11" x14ac:dyDescent="0.4">
      <c r="B24" s="9">
        <v>28</v>
      </c>
      <c r="C24" s="9">
        <f t="shared" si="9"/>
        <v>0.48869219055841229</v>
      </c>
      <c r="D24" s="5">
        <f t="shared" si="10"/>
        <v>2.1300544681895124</v>
      </c>
      <c r="E24" s="5">
        <f t="shared" si="11"/>
        <v>2.4465934543088963</v>
      </c>
      <c r="F24" s="5">
        <f t="shared" si="12"/>
        <v>2.916779482436954</v>
      </c>
      <c r="G24" s="5">
        <f t="shared" ref="G20:G54" si="13">0.517638*SQRT((3.73205*COS($C24)+SIN($C24))/(SIN($C24)*(-0.267949*(COS($C24))^2+SIN($C24)*COS($C24)-0.05359)))</f>
        <v>3.7593356451891826</v>
      </c>
      <c r="H24" s="5"/>
      <c r="I24" s="5"/>
      <c r="J24" s="5"/>
      <c r="K24" s="5"/>
    </row>
    <row r="25" spans="2:11" x14ac:dyDescent="0.4">
      <c r="B25" s="9">
        <v>30</v>
      </c>
      <c r="C25" s="9">
        <f t="shared" si="9"/>
        <v>0.52359877559829882</v>
      </c>
      <c r="D25" s="5">
        <f t="shared" si="10"/>
        <v>2</v>
      </c>
      <c r="E25" s="5">
        <f t="shared" si="11"/>
        <v>2.2804006591039485</v>
      </c>
      <c r="F25" s="5">
        <f t="shared" si="12"/>
        <v>2.6810059624604055</v>
      </c>
      <c r="G25" s="5">
        <f t="shared" si="13"/>
        <v>3.3476749216056345</v>
      </c>
      <c r="H25" s="5"/>
      <c r="I25" s="5"/>
      <c r="J25" s="5"/>
      <c r="K25" s="5"/>
    </row>
    <row r="26" spans="2:11" x14ac:dyDescent="0.4">
      <c r="B26" s="9">
        <v>32</v>
      </c>
      <c r="C26" s="9">
        <f t="shared" si="9"/>
        <v>0.55850536063818546</v>
      </c>
      <c r="D26" s="5">
        <f t="shared" si="10"/>
        <v>1.8870799147998585</v>
      </c>
      <c r="E26" s="5">
        <f t="shared" si="11"/>
        <v>2.1387707563697442</v>
      </c>
      <c r="F26" s="5">
        <f t="shared" si="12"/>
        <v>2.4866756820887872</v>
      </c>
      <c r="G26" s="5">
        <f t="shared" si="13"/>
        <v>3.0329428937700902</v>
      </c>
      <c r="H26" s="5"/>
      <c r="I26" s="5"/>
      <c r="J26" s="5"/>
      <c r="K26" s="5"/>
    </row>
    <row r="27" spans="2:11" x14ac:dyDescent="0.4">
      <c r="B27" s="9">
        <v>34</v>
      </c>
      <c r="C27" s="9">
        <f t="shared" si="9"/>
        <v>0.59341194567807209</v>
      </c>
      <c r="D27" s="5">
        <f t="shared" si="10"/>
        <v>1.7882916499714003</v>
      </c>
      <c r="E27" s="5">
        <f t="shared" si="11"/>
        <v>2.0169042191666926</v>
      </c>
      <c r="F27" s="5">
        <f t="shared" si="12"/>
        <v>2.324033969400761</v>
      </c>
      <c r="G27" s="5">
        <f t="shared" si="13"/>
        <v>2.7840822535821181</v>
      </c>
      <c r="H27" s="5">
        <f t="shared" ref="H23:H52" si="14">0.603299*SQRT((2.74748*COS($C27)+SIN($C27))/(SIN($C27)*(-0.36397*(COS($C27))^2+SIN($C27)*COS($C27)-0.072794)))</f>
        <v>3.623460285234803</v>
      </c>
      <c r="I27" s="5"/>
      <c r="J27" s="5"/>
      <c r="K27" s="5"/>
    </row>
    <row r="28" spans="2:11" x14ac:dyDescent="0.4">
      <c r="B28" s="9">
        <v>36</v>
      </c>
      <c r="C28" s="9">
        <f t="shared" si="9"/>
        <v>0.62831853071795862</v>
      </c>
      <c r="D28" s="5">
        <f t="shared" si="10"/>
        <v>1.7013016167040798</v>
      </c>
      <c r="E28" s="5">
        <f t="shared" si="11"/>
        <v>1.9111991763056482</v>
      </c>
      <c r="F28" s="5">
        <f t="shared" si="12"/>
        <v>2.1862489947306636</v>
      </c>
      <c r="G28" s="5">
        <f t="shared" si="13"/>
        <v>2.5824400688209619</v>
      </c>
      <c r="H28" s="5">
        <f t="shared" si="14"/>
        <v>3.2525093423381799</v>
      </c>
      <c r="I28" s="5"/>
      <c r="J28" s="5"/>
      <c r="K28" s="5"/>
    </row>
    <row r="29" spans="2:11" x14ac:dyDescent="0.4">
      <c r="B29" s="9">
        <v>38</v>
      </c>
      <c r="C29" s="9">
        <f t="shared" si="9"/>
        <v>0.66322511575784515</v>
      </c>
      <c r="D29" s="5">
        <f t="shared" si="10"/>
        <v>1.6242692454827443</v>
      </c>
      <c r="E29" s="5">
        <f t="shared" si="11"/>
        <v>1.8189012435111094</v>
      </c>
      <c r="F29" s="5">
        <f t="shared" si="12"/>
        <v>2.0683869373191941</v>
      </c>
      <c r="G29" s="5">
        <f t="shared" si="13"/>
        <v>2.4160516695143919</v>
      </c>
      <c r="H29" s="5">
        <f t="shared" si="14"/>
        <v>2.9701808609664817</v>
      </c>
      <c r="I29" s="5"/>
      <c r="J29" s="5"/>
      <c r="K29" s="5"/>
    </row>
    <row r="30" spans="2:11" x14ac:dyDescent="0.4">
      <c r="B30" s="9">
        <v>40</v>
      </c>
      <c r="C30" s="9">
        <f t="shared" si="9"/>
        <v>0.69813170079773179</v>
      </c>
      <c r="D30" s="5">
        <f t="shared" si="10"/>
        <v>1.5557238268604126</v>
      </c>
      <c r="E30" s="5">
        <f t="shared" si="11"/>
        <v>1.7378702530505226</v>
      </c>
      <c r="F30" s="5">
        <f t="shared" si="12"/>
        <v>1.9667949753781928</v>
      </c>
      <c r="G30" s="5">
        <f t="shared" si="13"/>
        <v>2.2768535513509334</v>
      </c>
      <c r="H30" s="5">
        <f t="shared" si="14"/>
        <v>2.7479427797822678</v>
      </c>
      <c r="I30" s="5">
        <f t="shared" ref="I26:I52" si="15">0.682867*SQRT((2.14451*COS($C30)+SIN($C30))/(SIN($C30)*(-0.466308*(COS($C30))^2+SIN($C30)*COS($C30)-0.093262)))</f>
        <v>3.6347670171920008</v>
      </c>
      <c r="J30" s="5"/>
      <c r="K30" s="5"/>
    </row>
    <row r="31" spans="2:11" x14ac:dyDescent="0.4">
      <c r="B31" s="9">
        <v>42</v>
      </c>
      <c r="C31" s="9">
        <f t="shared" si="9"/>
        <v>0.73303828583761843</v>
      </c>
      <c r="D31" s="5">
        <f t="shared" si="10"/>
        <v>1.4944765498646086</v>
      </c>
      <c r="E31" s="5">
        <f t="shared" si="11"/>
        <v>1.6664207633701456</v>
      </c>
      <c r="F31" s="5">
        <f t="shared" si="12"/>
        <v>1.8787135610123187</v>
      </c>
      <c r="G31" s="5">
        <f t="shared" si="13"/>
        <v>2.1592005632462099</v>
      </c>
      <c r="H31" s="5">
        <f t="shared" si="14"/>
        <v>2.5688287201164535</v>
      </c>
      <c r="I31" s="5">
        <f t="shared" si="15"/>
        <v>3.2811423510556903</v>
      </c>
      <c r="J31" s="5"/>
      <c r="K31" s="5"/>
    </row>
    <row r="32" spans="2:11" x14ac:dyDescent="0.4">
      <c r="B32" s="9">
        <v>44</v>
      </c>
      <c r="C32" s="9">
        <f t="shared" si="9"/>
        <v>0.76794487087750496</v>
      </c>
      <c r="D32" s="5">
        <f t="shared" si="10"/>
        <v>1.4395565396257264</v>
      </c>
      <c r="E32" s="5">
        <f t="shared" si="11"/>
        <v>1.6032105723769321</v>
      </c>
      <c r="F32" s="5">
        <f t="shared" si="12"/>
        <v>1.8020240658957574</v>
      </c>
      <c r="G32" s="5">
        <f t="shared" si="13"/>
        <v>2.0590221533839994</v>
      </c>
      <c r="H32" s="5">
        <f t="shared" si="14"/>
        <v>2.4220482269331547</v>
      </c>
      <c r="I32" s="5">
        <f t="shared" si="15"/>
        <v>3.0156590391566089</v>
      </c>
      <c r="J32" s="5"/>
      <c r="K32" s="5"/>
    </row>
    <row r="33" spans="2:11" x14ac:dyDescent="0.4">
      <c r="B33" s="9">
        <v>46</v>
      </c>
      <c r="C33" s="9">
        <f t="shared" si="9"/>
        <v>0.80285145591739149</v>
      </c>
      <c r="D33" s="5">
        <f t="shared" si="10"/>
        <v>1.390163591016679</v>
      </c>
      <c r="E33" s="5">
        <f t="shared" si="11"/>
        <v>1.54716132803647</v>
      </c>
      <c r="F33" s="5">
        <f t="shared" si="12"/>
        <v>1.7350797548474557</v>
      </c>
      <c r="G33" s="5">
        <f t="shared" si="13"/>
        <v>1.9733161525585019</v>
      </c>
      <c r="H33" s="5">
        <f t="shared" si="14"/>
        <v>2.3003912938681101</v>
      </c>
      <c r="I33" s="5">
        <f t="shared" si="15"/>
        <v>2.8095243001456307</v>
      </c>
      <c r="J33" s="5">
        <f t="shared" ref="J29:J51" si="16">0.759836*SQRT((1.73205*COS($C33)+SIN($C33))/(SIN($C33)*(-0.57735*(COS($C33))^2+SIN($C33)*COS($C33)-0.11547)))</f>
        <v>3.8221274100068467</v>
      </c>
      <c r="K33" s="5"/>
    </row>
    <row r="34" spans="2:11" x14ac:dyDescent="0.4">
      <c r="B34" s="9">
        <v>48</v>
      </c>
      <c r="C34" s="9">
        <f t="shared" si="9"/>
        <v>0.83775804095727813</v>
      </c>
      <c r="D34" s="5">
        <f t="shared" si="10"/>
        <v>1.3456327296063764</v>
      </c>
      <c r="E34" s="5">
        <f t="shared" si="11"/>
        <v>1.4974011533513998</v>
      </c>
      <c r="F34" s="5">
        <f t="shared" si="12"/>
        <v>1.6765899786677967</v>
      </c>
      <c r="G34" s="5">
        <f t="shared" si="13"/>
        <v>1.8998321003480483</v>
      </c>
      <c r="H34" s="5">
        <f t="shared" si="14"/>
        <v>2.1988621798809893</v>
      </c>
      <c r="I34" s="5">
        <f t="shared" si="15"/>
        <v>2.6459437779081796</v>
      </c>
      <c r="J34" s="5">
        <f t="shared" si="16"/>
        <v>3.4620718237275314</v>
      </c>
      <c r="K34" s="5"/>
    </row>
    <row r="35" spans="2:11" x14ac:dyDescent="0.4">
      <c r="B35" s="9">
        <v>50</v>
      </c>
      <c r="C35" s="9">
        <f t="shared" si="9"/>
        <v>0.87266462599716477</v>
      </c>
      <c r="D35" s="5">
        <f t="shared" si="10"/>
        <v>1.3054072893322786</v>
      </c>
      <c r="E35" s="5">
        <f t="shared" si="11"/>
        <v>1.453222753815067</v>
      </c>
      <c r="F35" s="5">
        <f t="shared" si="12"/>
        <v>1.6255395474684169</v>
      </c>
      <c r="G35" s="5">
        <f t="shared" si="13"/>
        <v>1.8368667087825592</v>
      </c>
      <c r="H35" s="5">
        <f t="shared" si="14"/>
        <v>2.1139102515531656</v>
      </c>
      <c r="I35" s="5">
        <f t="shared" si="15"/>
        <v>2.5144309060401286</v>
      </c>
      <c r="J35" s="5">
        <f t="shared" si="16"/>
        <v>3.1992888429665518</v>
      </c>
      <c r="K35" s="5"/>
    </row>
    <row r="36" spans="2:11" x14ac:dyDescent="0.4">
      <c r="B36" s="9">
        <v>52</v>
      </c>
      <c r="C36" s="9">
        <f t="shared" si="9"/>
        <v>0.90757121103705141</v>
      </c>
      <c r="D36" s="5">
        <f t="shared" si="10"/>
        <v>1.2690182150725788</v>
      </c>
      <c r="E36" s="5">
        <f t="shared" si="11"/>
        <v>1.4140527118408941</v>
      </c>
      <c r="F36" s="5">
        <f t="shared" si="12"/>
        <v>1.5811321905288844</v>
      </c>
      <c r="G36" s="5">
        <f t="shared" si="13"/>
        <v>1.7831288863217802</v>
      </c>
      <c r="H36" s="5">
        <f t="shared" si="14"/>
        <v>2.0429745661545518</v>
      </c>
      <c r="I36" s="5">
        <f t="shared" si="15"/>
        <v>2.4081253363439146</v>
      </c>
      <c r="J36" s="5">
        <f t="shared" si="16"/>
        <v>3.0011927055510532</v>
      </c>
      <c r="K36" s="5"/>
    </row>
    <row r="37" spans="2:11" x14ac:dyDescent="0.4">
      <c r="B37" s="9">
        <v>54</v>
      </c>
      <c r="C37" s="9">
        <f t="shared" si="9"/>
        <v>0.94247779607693793</v>
      </c>
      <c r="D37" s="5">
        <f t="shared" si="10"/>
        <v>1.2360679774997896</v>
      </c>
      <c r="E37" s="5">
        <f t="shared" si="11"/>
        <v>1.3794291323395729</v>
      </c>
      <c r="F37" s="5">
        <f t="shared" si="12"/>
        <v>1.5427511868606945</v>
      </c>
      <c r="G37" s="5">
        <f t="shared" si="13"/>
        <v>1.7376500180789423</v>
      </c>
      <c r="H37" s="5">
        <f t="shared" si="14"/>
        <v>1.9842048046616032</v>
      </c>
      <c r="I37" s="5">
        <f t="shared" si="15"/>
        <v>2.3224100944488608</v>
      </c>
      <c r="J37" s="5">
        <f t="shared" si="16"/>
        <v>2.8494662829963162</v>
      </c>
      <c r="K37" s="5"/>
    </row>
    <row r="38" spans="2:11" x14ac:dyDescent="0.4">
      <c r="B38" s="9">
        <v>56</v>
      </c>
      <c r="C38" s="9">
        <f t="shared" si="9"/>
        <v>0.97738438111682457</v>
      </c>
      <c r="D38" s="5">
        <f t="shared" si="10"/>
        <v>1.2062179485039053</v>
      </c>
      <c r="E38" s="5">
        <f t="shared" si="11"/>
        <v>1.3489858023245154</v>
      </c>
      <c r="F38" s="5">
        <f t="shared" si="12"/>
        <v>1.5099329009401654</v>
      </c>
      <c r="G38" s="5">
        <f t="shared" si="13"/>
        <v>1.6997253731166744</v>
      </c>
      <c r="H38" s="5">
        <f t="shared" si="14"/>
        <v>1.9362878958544774</v>
      </c>
      <c r="I38" s="5">
        <f t="shared" si="15"/>
        <v>2.2541525382946657</v>
      </c>
      <c r="J38" s="5">
        <f t="shared" si="16"/>
        <v>2.7331174760389811</v>
      </c>
      <c r="K38" s="5">
        <f t="shared" ref="K33:K50" si="17">0.836784*SQRT((1.42815*COS($C38)+SIN($C38))/(SIN($C38)*(-0.700208*(COS($C38))^2+SIN($C38)*COS($C38)-0.140042)))</f>
        <v>3.6253222002571763</v>
      </c>
    </row>
    <row r="39" spans="2:11" x14ac:dyDescent="0.4">
      <c r="B39" s="9">
        <v>58</v>
      </c>
      <c r="C39" s="9">
        <f t="shared" si="9"/>
        <v>1.0122909661567112</v>
      </c>
      <c r="D39" s="5">
        <f t="shared" si="10"/>
        <v>1.1791784033620965</v>
      </c>
      <c r="E39" s="5">
        <f t="shared" si="11"/>
        <v>1.3224417627267262</v>
      </c>
      <c r="F39" s="5">
        <f t="shared" si="12"/>
        <v>1.4823507742980944</v>
      </c>
      <c r="G39" s="5">
        <f t="shared" si="13"/>
        <v>1.6688785877830765</v>
      </c>
      <c r="H39" s="5">
        <f t="shared" si="14"/>
        <v>1.8983427523353453</v>
      </c>
      <c r="I39" s="5">
        <f t="shared" si="15"/>
        <v>2.2012736682670937</v>
      </c>
      <c r="J39" s="5">
        <f t="shared" si="16"/>
        <v>2.6453427613917979</v>
      </c>
      <c r="K39" s="5">
        <f t="shared" si="17"/>
        <v>3.4285273538580054</v>
      </c>
    </row>
    <row r="40" spans="2:11" x14ac:dyDescent="0.4">
      <c r="B40" s="9">
        <v>60</v>
      </c>
      <c r="C40" s="9">
        <f t="shared" si="9"/>
        <v>1.0471975511965976</v>
      </c>
      <c r="D40" s="5">
        <f t="shared" si="10"/>
        <v>1.1547005383792517</v>
      </c>
      <c r="E40" s="5">
        <f t="shared" si="11"/>
        <v>1.2995958010973374</v>
      </c>
      <c r="F40" s="5">
        <f t="shared" si="12"/>
        <v>1.4598087367159203</v>
      </c>
      <c r="G40" s="5">
        <f t="shared" si="13"/>
        <v>1.6448452114453034</v>
      </c>
      <c r="H40" s="5">
        <f t="shared" si="14"/>
        <v>1.8698634536195982</v>
      </c>
      <c r="I40" s="5">
        <f t="shared" si="15"/>
        <v>2.1625074068309824</v>
      </c>
      <c r="J40" s="5">
        <f t="shared" si="16"/>
        <v>2.5819887618027759</v>
      </c>
      <c r="K40" s="5">
        <f t="shared" si="17"/>
        <v>3.2915393311012617</v>
      </c>
    </row>
    <row r="41" spans="2:11" x14ac:dyDescent="0.4">
      <c r="B41" s="9">
        <v>62</v>
      </c>
      <c r="C41" s="9">
        <f t="shared" si="9"/>
        <v>1.0821041362364843</v>
      </c>
      <c r="D41" s="5">
        <f t="shared" si="10"/>
        <v>1.1325700506890393</v>
      </c>
      <c r="E41" s="5">
        <f t="shared" si="11"/>
        <v>1.2803259793232173</v>
      </c>
      <c r="F41" s="5">
        <f t="shared" si="12"/>
        <v>1.4422443363103601</v>
      </c>
      <c r="G41" s="5">
        <f t="shared" si="13"/>
        <v>1.6275745075648791</v>
      </c>
      <c r="H41" s="5">
        <f t="shared" si="14"/>
        <v>1.8507022835685696</v>
      </c>
      <c r="I41" s="5">
        <f t="shared" si="15"/>
        <v>2.1372844203638888</v>
      </c>
      <c r="J41" s="5">
        <f t="shared" si="16"/>
        <v>2.5407827575456312</v>
      </c>
      <c r="K41" s="5">
        <f t="shared" si="17"/>
        <v>3.2020766565224537</v>
      </c>
    </row>
    <row r="42" spans="2:11" x14ac:dyDescent="0.4">
      <c r="B42" s="9">
        <v>64</v>
      </c>
      <c r="C42" s="9">
        <f t="shared" si="9"/>
        <v>1.1170107212763709</v>
      </c>
      <c r="D42" s="5">
        <f t="shared" si="10"/>
        <v>1.1126019404751888</v>
      </c>
      <c r="E42" s="5">
        <f t="shared" si="11"/>
        <v>1.2645950496058349</v>
      </c>
      <c r="F42" s="5">
        <f t="shared" si="12"/>
        <v>1.4297434834160005</v>
      </c>
      <c r="G42" s="5">
        <f t="shared" si="13"/>
        <v>1.6172520094326548</v>
      </c>
      <c r="H42" s="5">
        <f t="shared" si="14"/>
        <v>1.8410926568454207</v>
      </c>
      <c r="I42" s="5">
        <f t="shared" si="15"/>
        <v>2.1257147129542817</v>
      </c>
      <c r="J42" s="5">
        <f t="shared" si="16"/>
        <v>2.5209972732118446</v>
      </c>
      <c r="K42" s="5">
        <f t="shared" si="17"/>
        <v>3.1541784675172209</v>
      </c>
    </row>
    <row r="43" spans="2:11" x14ac:dyDescent="0.4">
      <c r="B43" s="9">
        <v>66</v>
      </c>
      <c r="C43" s="9">
        <f t="shared" si="9"/>
        <v>1.1519173063162575</v>
      </c>
      <c r="D43" s="5">
        <f t="shared" si="10"/>
        <v>1.0946362785060468</v>
      </c>
      <c r="E43" s="5">
        <f t="shared" si="11"/>
        <v>1.2524636962773597</v>
      </c>
      <c r="F43" s="5">
        <f t="shared" si="12"/>
        <v>1.4225710476978215</v>
      </c>
      <c r="G43" s="5">
        <f t="shared" si="13"/>
        <v>1.6143498126567608</v>
      </c>
      <c r="H43" s="5">
        <f t="shared" si="14"/>
        <v>1.8417213958109833</v>
      </c>
      <c r="I43" s="5">
        <f t="shared" si="15"/>
        <v>2.1286719989175324</v>
      </c>
      <c r="J43" s="5">
        <f t="shared" si="16"/>
        <v>2.5234289568323902</v>
      </c>
      <c r="K43" s="5">
        <f t="shared" si="17"/>
        <v>3.1465484426069574</v>
      </c>
    </row>
    <row r="44" spans="2:11" x14ac:dyDescent="0.4">
      <c r="B44" s="9">
        <v>68</v>
      </c>
      <c r="C44" s="9">
        <f t="shared" si="9"/>
        <v>1.1868238913561442</v>
      </c>
      <c r="D44" s="5">
        <f t="shared" si="10"/>
        <v>1.0785347426775833</v>
      </c>
      <c r="E44" s="5">
        <f t="shared" si="11"/>
        <v>1.2441153573299459</v>
      </c>
      <c r="F44" s="5">
        <f t="shared" si="12"/>
        <v>1.4212255303936565</v>
      </c>
      <c r="G44" s="5">
        <f t="shared" si="13"/>
        <v>1.6197190417218039</v>
      </c>
      <c r="H44" s="5">
        <f t="shared" si="14"/>
        <v>1.8538740709278041</v>
      </c>
      <c r="I44" s="5">
        <f t="shared" si="15"/>
        <v>2.1480154573315544</v>
      </c>
      <c r="J44" s="5">
        <f t="shared" si="16"/>
        <v>2.5507052433863078</v>
      </c>
      <c r="K44" s="5">
        <f t="shared" si="17"/>
        <v>3.1824655679786535</v>
      </c>
    </row>
    <row r="45" spans="2:11" x14ac:dyDescent="0.4">
      <c r="B45" s="9">
        <v>70</v>
      </c>
      <c r="C45" s="9">
        <f t="shared" si="9"/>
        <v>1.2217304763960306</v>
      </c>
      <c r="D45" s="5">
        <f t="shared" si="10"/>
        <v>1.0641777724759123</v>
      </c>
      <c r="E45" s="5">
        <f t="shared" si="11"/>
        <v>1.2398997170792008</v>
      </c>
      <c r="F45" s="5">
        <f t="shared" si="12"/>
        <v>1.426533497296417</v>
      </c>
      <c r="G45" s="5">
        <f t="shared" si="13"/>
        <v>1.6347530622907376</v>
      </c>
      <c r="H45" s="5">
        <f t="shared" si="14"/>
        <v>1.8797038340544308</v>
      </c>
      <c r="I45" s="5">
        <f t="shared" si="15"/>
        <v>2.1870399477530369</v>
      </c>
      <c r="J45" s="5">
        <f t="shared" si="16"/>
        <v>2.6080850370140976</v>
      </c>
      <c r="K45" s="5">
        <f t="shared" si="17"/>
        <v>3.2712971917301483</v>
      </c>
    </row>
    <row r="46" spans="2:11" x14ac:dyDescent="0.4">
      <c r="B46" s="9">
        <v>72</v>
      </c>
      <c r="C46" s="9">
        <f t="shared" si="9"/>
        <v>1.2566370614359172</v>
      </c>
      <c r="D46" s="5">
        <f t="shared" si="10"/>
        <v>1.0514622242382672</v>
      </c>
      <c r="E46" s="5">
        <f t="shared" si="11"/>
        <v>1.2404085652742438</v>
      </c>
      <c r="F46" s="5">
        <f t="shared" si="12"/>
        <v>1.4398145846594184</v>
      </c>
      <c r="G46" s="5">
        <f t="shared" si="13"/>
        <v>1.6616794698121784</v>
      </c>
      <c r="H46" s="5">
        <f t="shared" si="14"/>
        <v>1.922731446484051</v>
      </c>
      <c r="I46" s="5">
        <f t="shared" si="15"/>
        <v>2.2513662434037678</v>
      </c>
      <c r="J46" s="5">
        <f t="shared" si="16"/>
        <v>2.7052250375964713</v>
      </c>
      <c r="K46" s="5">
        <f t="shared" si="17"/>
        <v>3.4329106570436028</v>
      </c>
    </row>
    <row r="47" spans="2:11" x14ac:dyDescent="0.4">
      <c r="B47" s="9">
        <v>74</v>
      </c>
      <c r="C47" s="9">
        <f t="shared" si="9"/>
        <v>1.2915436464758039</v>
      </c>
      <c r="D47" s="5">
        <f t="shared" si="10"/>
        <v>1.040299435861602</v>
      </c>
      <c r="E47" s="5">
        <f t="shared" si="11"/>
        <v>1.2466117527413925</v>
      </c>
      <c r="F47" s="5">
        <f t="shared" si="12"/>
        <v>1.4631809958590758</v>
      </c>
      <c r="G47" s="5">
        <f t="shared" si="13"/>
        <v>1.7041059364363074</v>
      </c>
      <c r="H47" s="5">
        <f t="shared" si="14"/>
        <v>1.9888210520848815</v>
      </c>
      <c r="I47" s="5">
        <f t="shared" si="15"/>
        <v>2.3507883095376538</v>
      </c>
      <c r="J47" s="5">
        <f t="shared" si="16"/>
        <v>2.8602096520288152</v>
      </c>
      <c r="K47" s="5">
        <f t="shared" si="17"/>
        <v>3.7096436402890993</v>
      </c>
    </row>
    <row r="48" spans="2:11" x14ac:dyDescent="0.4">
      <c r="B48" s="9">
        <v>76</v>
      </c>
      <c r="C48" s="9">
        <f t="shared" si="9"/>
        <v>1.3264502315156903</v>
      </c>
      <c r="D48" s="5">
        <f t="shared" si="10"/>
        <v>1.0306136293498982</v>
      </c>
      <c r="E48" s="5">
        <f t="shared" si="11"/>
        <v>1.2601132631565772</v>
      </c>
      <c r="F48" s="5">
        <f t="shared" si="12"/>
        <v>1.5001144622044018</v>
      </c>
      <c r="G48" s="5">
        <f t="shared" si="13"/>
        <v>1.7681135192250395</v>
      </c>
      <c r="H48" s="5">
        <f t="shared" si="14"/>
        <v>2.0882437246507752</v>
      </c>
      <c r="I48" s="5">
        <f t="shared" si="15"/>
        <v>2.5034913140665287</v>
      </c>
      <c r="J48" s="5">
        <f t="shared" si="16"/>
        <v>3.1099050822289231</v>
      </c>
      <c r="K48" s="5"/>
    </row>
    <row r="49" spans="2:11" x14ac:dyDescent="0.4">
      <c r="B49" s="9">
        <v>78</v>
      </c>
      <c r="C49" s="9">
        <f t="shared" si="9"/>
        <v>1.3613568165555769</v>
      </c>
      <c r="D49" s="5">
        <f t="shared" si="10"/>
        <v>1.0223405948650293</v>
      </c>
      <c r="E49" s="5">
        <f t="shared" si="11"/>
        <v>1.2836691498294084</v>
      </c>
      <c r="F49" s="5">
        <f t="shared" si="12"/>
        <v>1.5566737974052236</v>
      </c>
      <c r="G49" s="5">
        <f t="shared" si="13"/>
        <v>1.8646703474324478</v>
      </c>
      <c r="H49" s="5">
        <f t="shared" si="14"/>
        <v>2.2405839327540482</v>
      </c>
      <c r="I49" s="5">
        <f t="shared" si="15"/>
        <v>2.7472172188869384</v>
      </c>
      <c r="J49" s="5">
        <f t="shared" si="16"/>
        <v>3.5425914720401246</v>
      </c>
      <c r="K49" s="5"/>
    </row>
    <row r="50" spans="2:11" x14ac:dyDescent="0.4">
      <c r="B50" s="9">
        <v>80</v>
      </c>
      <c r="C50" s="9">
        <f t="shared" si="9"/>
        <v>1.3962634015954636</v>
      </c>
      <c r="D50" s="5">
        <f t="shared" si="10"/>
        <v>1.0154266118857451</v>
      </c>
      <c r="E50" s="5">
        <f t="shared" si="11"/>
        <v>1.3223426178674578</v>
      </c>
      <c r="F50" s="5">
        <f t="shared" si="12"/>
        <v>1.6443285443908338</v>
      </c>
      <c r="G50" s="5">
        <f t="shared" si="13"/>
        <v>2.0157471135494949</v>
      </c>
      <c r="H50" s="5">
        <f t="shared" si="14"/>
        <v>2.4886034684349694</v>
      </c>
      <c r="I50" s="5">
        <f t="shared" si="15"/>
        <v>3.1765525502941405</v>
      </c>
      <c r="J50" s="5"/>
      <c r="K50" s="5"/>
    </row>
    <row r="51" spans="2:11" x14ac:dyDescent="0.4">
      <c r="B51" s="9">
        <v>82</v>
      </c>
      <c r="C51" s="9">
        <f t="shared" si="9"/>
        <v>1.43116998663535</v>
      </c>
      <c r="D51" s="5">
        <f t="shared" si="10"/>
        <v>1.0098275725186181</v>
      </c>
      <c r="E51" s="5">
        <f t="shared" si="11"/>
        <v>1.3864564129298322</v>
      </c>
      <c r="F51" s="5">
        <f t="shared" si="12"/>
        <v>1.7877964637949031</v>
      </c>
      <c r="G51" s="5">
        <f t="shared" si="13"/>
        <v>2.2733727622927762</v>
      </c>
      <c r="H51" s="5">
        <f t="shared" si="14"/>
        <v>2.9499531578315237</v>
      </c>
      <c r="I51" s="5">
        <f t="shared" si="15"/>
        <v>4.1330906481718852</v>
      </c>
      <c r="J51" s="5"/>
      <c r="K51" s="5"/>
    </row>
    <row r="52" spans="2:11" x14ac:dyDescent="0.4">
      <c r="B52" s="9">
        <v>84</v>
      </c>
      <c r="C52" s="9">
        <f t="shared" si="9"/>
        <v>1.4660765716752369</v>
      </c>
      <c r="D52" s="5">
        <f t="shared" si="10"/>
        <v>1.0055082795635164</v>
      </c>
      <c r="E52" s="5">
        <f t="shared" si="11"/>
        <v>1.5008349785419117</v>
      </c>
      <c r="F52" s="5">
        <f t="shared" si="12"/>
        <v>2.053118506422317</v>
      </c>
      <c r="G52" s="5">
        <f t="shared" si="13"/>
        <v>2.8042802535276388</v>
      </c>
      <c r="H52" s="5">
        <f t="shared" si="14"/>
        <v>4.1538963408227598</v>
      </c>
      <c r="I52" s="5"/>
      <c r="J52" s="5"/>
      <c r="K52" s="5"/>
    </row>
    <row r="53" spans="2:11" customFormat="1" x14ac:dyDescent="0.4">
      <c r="B53" s="9">
        <v>86</v>
      </c>
      <c r="C53" s="9">
        <f t="shared" si="9"/>
        <v>1.5009831567151233</v>
      </c>
      <c r="D53" s="5">
        <f t="shared" si="10"/>
        <v>1.0024418980811722</v>
      </c>
      <c r="E53" s="5">
        <f t="shared" si="11"/>
        <v>1.7455619458954932</v>
      </c>
      <c r="F53" s="5">
        <f t="shared" si="12"/>
        <v>2.712722547730638</v>
      </c>
      <c r="G53" s="5">
        <f t="shared" si="13"/>
        <v>4.7954292773010581</v>
      </c>
      <c r="H53" s="5"/>
      <c r="I53" s="5"/>
      <c r="J53" s="5"/>
      <c r="K53" s="5"/>
    </row>
    <row r="54" spans="2:11" customFormat="1" x14ac:dyDescent="0.4">
      <c r="B54" s="9">
        <v>86.5</v>
      </c>
      <c r="C54" s="9">
        <f t="shared" si="9"/>
        <v>1.509709802975095</v>
      </c>
      <c r="D54" s="5">
        <f t="shared" si="10"/>
        <v>1.0018686870561793</v>
      </c>
      <c r="E54" s="5">
        <f t="shared" si="11"/>
        <v>1.8569187078940772</v>
      </c>
      <c r="F54" s="5">
        <f t="shared" si="12"/>
        <v>3.0813678010687426</v>
      </c>
      <c r="G54" s="5"/>
      <c r="H54" s="5"/>
      <c r="I54" s="5"/>
      <c r="J54" s="5"/>
      <c r="K54" s="5"/>
    </row>
    <row r="55" spans="2:11" customFormat="1" x14ac:dyDescent="0.4">
      <c r="B55" s="9">
        <v>87</v>
      </c>
      <c r="C55" s="9">
        <f t="shared" si="9"/>
        <v>1.5184364492350666</v>
      </c>
      <c r="D55" s="5">
        <f t="shared" si="10"/>
        <v>1.0013723459979209</v>
      </c>
      <c r="E55" s="5">
        <f t="shared" si="11"/>
        <v>2.0129225120165803</v>
      </c>
      <c r="F55" s="5">
        <f t="shared" si="12"/>
        <v>3.7214321973940159</v>
      </c>
      <c r="G55" s="5"/>
      <c r="H55" s="5"/>
      <c r="I55" s="5"/>
      <c r="J55" s="5"/>
      <c r="K55" s="5"/>
    </row>
    <row r="56" spans="2:11" customFormat="1" x14ac:dyDescent="0.4">
      <c r="B56" s="9">
        <v>87.5</v>
      </c>
      <c r="C56" s="9">
        <f t="shared" si="9"/>
        <v>1.5271630954950381</v>
      </c>
      <c r="D56" s="5">
        <f t="shared" si="10"/>
        <v>1.0009526851633199</v>
      </c>
      <c r="E56" s="5">
        <f t="shared" si="11"/>
        <v>2.2496852778867527</v>
      </c>
      <c r="F56" s="5"/>
      <c r="G56" s="5"/>
      <c r="H56" s="5"/>
      <c r="I56" s="5"/>
      <c r="J56" s="5"/>
      <c r="K56" s="5"/>
    </row>
    <row r="57" spans="2:11" customFormat="1" x14ac:dyDescent="0.4">
      <c r="B57" s="9">
        <v>88</v>
      </c>
      <c r="C57" s="9">
        <f t="shared" si="9"/>
        <v>1.5358897417550099</v>
      </c>
      <c r="D57" s="5">
        <f t="shared" si="10"/>
        <v>1.0006095442988217</v>
      </c>
      <c r="E57" s="5">
        <f t="shared" si="11"/>
        <v>2.6620459856759919</v>
      </c>
      <c r="F57" s="5"/>
      <c r="G57" s="5"/>
      <c r="H57" s="5"/>
      <c r="I57" s="5"/>
      <c r="J57" s="5"/>
      <c r="K57" s="5"/>
    </row>
    <row r="58" spans="2:11" customFormat="1" x14ac:dyDescent="0.4">
      <c r="B58" s="9">
        <v>88.5</v>
      </c>
      <c r="C58" s="9">
        <f t="shared" si="9"/>
        <v>1.5446163880149817</v>
      </c>
      <c r="D58" s="5">
        <f t="shared" si="10"/>
        <v>1.0003427924908679</v>
      </c>
      <c r="E58" s="5">
        <f t="shared" si="11"/>
        <v>3.6335394146072026</v>
      </c>
      <c r="F58" s="5"/>
      <c r="G58" s="5"/>
      <c r="H58" s="5"/>
      <c r="I58" s="5"/>
      <c r="J58" s="5"/>
      <c r="K58" s="5"/>
    </row>
    <row r="59" spans="2:11" customFormat="1" x14ac:dyDescent="0.4">
      <c r="B59" s="9">
        <v>89</v>
      </c>
      <c r="C59" s="9">
        <f t="shared" si="9"/>
        <v>1.5533430342749535</v>
      </c>
      <c r="D59" s="5">
        <f t="shared" si="10"/>
        <v>1.0001523280439077</v>
      </c>
      <c r="E59" s="5"/>
      <c r="F59" s="5"/>
      <c r="G59" s="5"/>
      <c r="H59" s="5"/>
      <c r="I59" s="5"/>
      <c r="J59" s="5"/>
      <c r="K59" s="5"/>
    </row>
    <row r="60" spans="2:11" customFormat="1" x14ac:dyDescent="0.4">
      <c r="B60" s="9">
        <v>89.5</v>
      </c>
      <c r="C60" s="9">
        <f t="shared" si="9"/>
        <v>1.562069680534925</v>
      </c>
      <c r="D60" s="5">
        <f t="shared" si="10"/>
        <v>1.000038078385737</v>
      </c>
      <c r="E60" s="5"/>
      <c r="F60" s="5"/>
      <c r="G60" s="5"/>
      <c r="H60" s="5"/>
      <c r="I60" s="5"/>
      <c r="J60" s="5"/>
      <c r="K60" s="5"/>
    </row>
    <row r="61" spans="2:11" customFormat="1" x14ac:dyDescent="0.4">
      <c r="B61" s="9">
        <v>90</v>
      </c>
      <c r="C61" s="9">
        <f t="shared" si="9"/>
        <v>1.5707963267948966</v>
      </c>
      <c r="D61" s="5">
        <f t="shared" si="10"/>
        <v>1</v>
      </c>
      <c r="E61" s="5"/>
      <c r="F61" s="5"/>
      <c r="G61" s="5"/>
      <c r="H61" s="5"/>
      <c r="I61" s="5"/>
      <c r="J61" s="5"/>
      <c r="K61" s="5"/>
    </row>
    <row r="62" spans="2:11" customFormat="1" ht="14.4" x14ac:dyDescent="0.3"/>
  </sheetData>
  <mergeCells count="2">
    <mergeCell ref="B2:C3"/>
    <mergeCell ref="D2:K2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ED479-4888-4085-B5E0-2E4B7F918E18}">
  <dimension ref="B2:AC74"/>
  <sheetViews>
    <sheetView zoomScale="85" zoomScaleNormal="85" workbookViewId="0">
      <selection activeCell="C3" sqref="C3"/>
    </sheetView>
  </sheetViews>
  <sheetFormatPr baseColWidth="10" defaultColWidth="11.5546875" defaultRowHeight="15.6" x14ac:dyDescent="0.4"/>
  <cols>
    <col min="1" max="1" width="2.6640625" style="1" customWidth="1"/>
    <col min="2" max="2" width="13.88671875" style="19" customWidth="1"/>
    <col min="3" max="3" width="13.88671875" style="1" customWidth="1"/>
    <col min="4" max="4" width="13.88671875" style="24" customWidth="1"/>
    <col min="5" max="5" width="13.88671875" style="1" customWidth="1"/>
    <col min="6" max="6" width="13.88671875" style="24" customWidth="1"/>
    <col min="7" max="7" width="13.88671875" style="1" customWidth="1"/>
    <col min="8" max="8" width="13.88671875" style="24" customWidth="1"/>
    <col min="9" max="9" width="13.88671875" style="1" customWidth="1"/>
    <col min="10" max="10" width="13.88671875" style="24" customWidth="1"/>
    <col min="11" max="11" width="13.88671875" style="1" customWidth="1"/>
    <col min="12" max="12" width="13.88671875" style="24" customWidth="1"/>
    <col min="13" max="13" width="13.88671875" style="1" customWidth="1"/>
    <col min="14" max="14" width="13.88671875" style="24" customWidth="1"/>
    <col min="15" max="15" width="13.88671875" style="1" customWidth="1"/>
    <col min="16" max="16" width="13.88671875" style="24" customWidth="1"/>
    <col min="17" max="17" width="13.88671875" style="1" customWidth="1"/>
    <col min="18" max="18" width="2.6640625" style="1" customWidth="1"/>
    <col min="19" max="16384" width="11.5546875" style="1"/>
  </cols>
  <sheetData>
    <row r="2" spans="2:29" ht="15.6" customHeight="1" x14ac:dyDescent="0.4">
      <c r="B2" s="45" t="s">
        <v>2</v>
      </c>
      <c r="C2" s="6" t="s">
        <v>12</v>
      </c>
      <c r="D2" s="42" t="s">
        <v>2</v>
      </c>
      <c r="E2" s="6" t="s">
        <v>12</v>
      </c>
      <c r="F2" s="42" t="s">
        <v>2</v>
      </c>
      <c r="G2" s="6" t="s">
        <v>12</v>
      </c>
      <c r="H2" s="42" t="s">
        <v>2</v>
      </c>
      <c r="I2" s="6" t="s">
        <v>12</v>
      </c>
      <c r="J2" s="42" t="s">
        <v>2</v>
      </c>
      <c r="K2" s="6" t="s">
        <v>12</v>
      </c>
      <c r="L2" s="42" t="s">
        <v>2</v>
      </c>
      <c r="M2" s="6" t="s">
        <v>12</v>
      </c>
      <c r="N2" s="42" t="s">
        <v>2</v>
      </c>
      <c r="O2" s="6" t="s">
        <v>12</v>
      </c>
      <c r="P2" s="42" t="s">
        <v>2</v>
      </c>
      <c r="Q2" s="6" t="s">
        <v>12</v>
      </c>
    </row>
    <row r="3" spans="2:29" x14ac:dyDescent="0.4">
      <c r="B3" s="46"/>
      <c r="C3" s="7">
        <v>0</v>
      </c>
      <c r="D3" s="43"/>
      <c r="E3" s="40">
        <v>5</v>
      </c>
      <c r="F3" s="43"/>
      <c r="G3" s="40">
        <v>10</v>
      </c>
      <c r="H3" s="43"/>
      <c r="I3" s="40">
        <v>15</v>
      </c>
      <c r="J3" s="43"/>
      <c r="K3" s="40">
        <v>20</v>
      </c>
      <c r="L3" s="43"/>
      <c r="M3" s="40">
        <v>25</v>
      </c>
      <c r="N3" s="43"/>
      <c r="O3" s="40">
        <v>30</v>
      </c>
      <c r="P3" s="43"/>
      <c r="Q3" s="40">
        <v>35</v>
      </c>
      <c r="AC3"/>
    </row>
    <row r="4" spans="2:29" x14ac:dyDescent="0.4">
      <c r="B4" s="46"/>
      <c r="C4" s="8">
        <f>C3*PI()/180</f>
        <v>0</v>
      </c>
      <c r="D4" s="43"/>
      <c r="E4" s="41"/>
      <c r="F4" s="43"/>
      <c r="G4" s="41"/>
      <c r="H4" s="43"/>
      <c r="I4" s="41"/>
      <c r="J4" s="43"/>
      <c r="K4" s="41"/>
      <c r="L4" s="43"/>
      <c r="M4" s="41"/>
      <c r="N4" s="43"/>
      <c r="O4" s="41"/>
      <c r="P4" s="43"/>
      <c r="Q4" s="41"/>
    </row>
    <row r="5" spans="2:29" x14ac:dyDescent="0.4">
      <c r="B5" s="47"/>
      <c r="C5" s="14">
        <f>PI()/2</f>
        <v>1.5707963267948966</v>
      </c>
      <c r="D5" s="44"/>
      <c r="E5" s="15">
        <v>1.5</v>
      </c>
      <c r="F5" s="44"/>
      <c r="G5" s="15">
        <v>1.46</v>
      </c>
      <c r="H5" s="44"/>
      <c r="I5" s="15">
        <v>1.42</v>
      </c>
      <c r="J5" s="44"/>
      <c r="K5" s="23">
        <v>1.39</v>
      </c>
      <c r="L5" s="44"/>
      <c r="M5" s="23">
        <v>1.36</v>
      </c>
      <c r="N5" s="44"/>
      <c r="O5" s="23">
        <v>1.32</v>
      </c>
      <c r="P5" s="44"/>
      <c r="Q5" s="23">
        <v>1.26</v>
      </c>
    </row>
    <row r="6" spans="2:29" x14ac:dyDescent="0.4">
      <c r="B6" s="21">
        <v>1</v>
      </c>
      <c r="C6" s="18">
        <f>((((1.4+1)/2)^(1.4+1)*($B6*SIN(C$5))^(2*1.4))/((1+((1.4-1)/2)*($B6*SIN(C$5))^2)^1.4*(1.4*($B6*SIN(C$5))^2-((1.4-1)/2))))^((1)/(1.4-1))</f>
        <v>1</v>
      </c>
      <c r="D6" s="10"/>
      <c r="E6" s="5"/>
      <c r="F6" s="10"/>
      <c r="G6" s="5"/>
      <c r="H6" s="10"/>
      <c r="I6" s="5"/>
      <c r="J6" s="10"/>
      <c r="K6" s="5"/>
      <c r="L6" s="10"/>
      <c r="M6" s="5"/>
      <c r="N6" s="10"/>
      <c r="O6" s="5"/>
      <c r="P6" s="10"/>
      <c r="Q6" s="5"/>
    </row>
    <row r="7" spans="2:29" x14ac:dyDescent="0.4">
      <c r="B7" s="20">
        <v>1.05</v>
      </c>
      <c r="C7" s="5">
        <f t="shared" ref="C7:C56" si="0">((((1.4+1)/2)^(1.4+1)*($B7*SIN(C$5))^(2*1.4))/((1+((1.4-1)/2)*($B7*SIN(C$5))^2)^1.4*(1.4*($B7*SIN(C$5))^2-((1.4-1)/2))))^((1)/(1.4-1))</f>
        <v>0.99985299009517314</v>
      </c>
      <c r="D7" s="10"/>
      <c r="E7" s="5"/>
      <c r="F7" s="10"/>
      <c r="G7" s="5"/>
      <c r="H7" s="10"/>
      <c r="I7" s="5"/>
      <c r="J7" s="10"/>
      <c r="K7" s="5"/>
      <c r="L7" s="10"/>
      <c r="M7" s="5"/>
      <c r="N7" s="10"/>
      <c r="O7" s="5"/>
      <c r="P7" s="10"/>
      <c r="Q7" s="5"/>
    </row>
    <row r="8" spans="2:29" x14ac:dyDescent="0.4">
      <c r="B8" s="20">
        <v>1.1000000000000001</v>
      </c>
      <c r="C8" s="5">
        <f t="shared" si="0"/>
        <v>0.99892801531447117</v>
      </c>
      <c r="D8" s="10">
        <v>3.5</v>
      </c>
      <c r="E8" s="5">
        <v>0.99199999999999999</v>
      </c>
      <c r="F8" s="10">
        <v>3.5</v>
      </c>
      <c r="G8" s="5">
        <v>0.94699999999999995</v>
      </c>
      <c r="H8" s="10"/>
      <c r="I8" s="5"/>
      <c r="J8" s="10"/>
      <c r="K8" s="5"/>
      <c r="L8" s="10"/>
      <c r="M8" s="5"/>
      <c r="N8" s="10"/>
      <c r="O8" s="5"/>
      <c r="P8" s="10"/>
      <c r="Q8" s="5"/>
    </row>
    <row r="9" spans="2:29" x14ac:dyDescent="0.4">
      <c r="B9" s="20">
        <v>1.1499999999999999</v>
      </c>
      <c r="C9" s="5">
        <f t="shared" si="0"/>
        <v>0.99668975878988608</v>
      </c>
      <c r="D9" s="10">
        <v>3.5</v>
      </c>
      <c r="E9" s="5">
        <v>0.99199999999999999</v>
      </c>
      <c r="F9" s="10">
        <v>3</v>
      </c>
      <c r="G9" s="5">
        <v>0.96299999999999997</v>
      </c>
      <c r="H9" s="10">
        <v>3.5</v>
      </c>
      <c r="I9" s="5">
        <v>0.85299999999999998</v>
      </c>
      <c r="J9" s="10"/>
      <c r="K9" s="5"/>
      <c r="L9" s="10"/>
      <c r="M9" s="5"/>
      <c r="N9" s="10"/>
      <c r="O9" s="5"/>
      <c r="P9" s="10"/>
      <c r="Q9" s="5"/>
    </row>
    <row r="10" spans="2:29" x14ac:dyDescent="0.4">
      <c r="B10" s="20">
        <v>1.2</v>
      </c>
      <c r="C10" s="5">
        <f t="shared" si="0"/>
        <v>0.99279839769936207</v>
      </c>
      <c r="D10" s="10">
        <v>3</v>
      </c>
      <c r="E10" s="5">
        <v>0.99480000000000002</v>
      </c>
      <c r="F10" s="10">
        <v>2.5</v>
      </c>
      <c r="G10" s="5">
        <v>0.97599999999999998</v>
      </c>
      <c r="H10" s="10">
        <v>3</v>
      </c>
      <c r="I10" s="5">
        <v>0.89549999999999996</v>
      </c>
      <c r="J10" s="10"/>
      <c r="K10" s="5"/>
      <c r="L10" s="10"/>
      <c r="M10" s="5"/>
      <c r="N10" s="10"/>
      <c r="O10" s="5"/>
      <c r="P10" s="10"/>
      <c r="Q10" s="5"/>
    </row>
    <row r="11" spans="2:29" x14ac:dyDescent="0.4">
      <c r="B11" s="20">
        <v>1.25</v>
      </c>
      <c r="C11" s="5">
        <f t="shared" si="0"/>
        <v>0.98705677037193806</v>
      </c>
      <c r="D11" s="10">
        <v>2.5</v>
      </c>
      <c r="E11" s="5">
        <v>0.997</v>
      </c>
      <c r="F11" s="10">
        <v>2</v>
      </c>
      <c r="G11" s="5">
        <v>0.98509999999999998</v>
      </c>
      <c r="H11" s="10">
        <v>2.5</v>
      </c>
      <c r="I11" s="5">
        <v>0.92900000000000005</v>
      </c>
      <c r="J11" s="10">
        <v>3.5</v>
      </c>
      <c r="K11" s="5">
        <v>0.72799999999999998</v>
      </c>
      <c r="L11" s="10"/>
      <c r="M11" s="5"/>
      <c r="N11" s="10"/>
      <c r="O11" s="5"/>
      <c r="P11" s="10"/>
      <c r="Q11" s="5"/>
    </row>
    <row r="12" spans="2:29" x14ac:dyDescent="0.4">
      <c r="B12" s="20">
        <v>1.3</v>
      </c>
      <c r="C12" s="5">
        <f t="shared" si="0"/>
        <v>0.97937364894321854</v>
      </c>
      <c r="D12" s="10">
        <v>2</v>
      </c>
      <c r="E12" s="5">
        <v>0.99860000000000004</v>
      </c>
      <c r="F12" s="10">
        <v>1.8</v>
      </c>
      <c r="G12" s="5">
        <v>0.98719999999999997</v>
      </c>
      <c r="H12" s="10">
        <v>2.25</v>
      </c>
      <c r="I12" s="5">
        <v>0.9425</v>
      </c>
      <c r="J12" s="10">
        <v>3</v>
      </c>
      <c r="K12" s="5">
        <v>0.79700000000000004</v>
      </c>
      <c r="L12" s="10"/>
      <c r="M12" s="5"/>
      <c r="N12" s="10"/>
      <c r="O12" s="5"/>
      <c r="P12" s="10"/>
      <c r="Q12" s="5"/>
      <c r="AB12"/>
      <c r="AC12"/>
    </row>
    <row r="13" spans="2:29" x14ac:dyDescent="0.4">
      <c r="B13" s="20">
        <v>1.35</v>
      </c>
      <c r="C13" s="5">
        <f t="shared" si="0"/>
        <v>0.96973709318744861</v>
      </c>
      <c r="D13" s="10">
        <v>1.8</v>
      </c>
      <c r="E13" s="5">
        <v>0.999</v>
      </c>
      <c r="F13" s="10">
        <v>1.6</v>
      </c>
      <c r="G13" s="5">
        <v>0.98839999999999995</v>
      </c>
      <c r="H13" s="10">
        <v>2</v>
      </c>
      <c r="I13" s="5">
        <v>0.95299999999999996</v>
      </c>
      <c r="J13" s="10">
        <v>2.5</v>
      </c>
      <c r="K13" s="5">
        <v>0.85499999999999998</v>
      </c>
      <c r="L13" s="10">
        <v>3.5</v>
      </c>
      <c r="M13" s="5">
        <v>0.59150000000000003</v>
      </c>
      <c r="N13" s="10"/>
      <c r="O13" s="5"/>
      <c r="P13" s="10"/>
      <c r="Q13" s="5"/>
    </row>
    <row r="14" spans="2:29" x14ac:dyDescent="0.4">
      <c r="B14" s="20">
        <v>1.4</v>
      </c>
      <c r="C14" s="5">
        <f t="shared" si="0"/>
        <v>0.95819441491554602</v>
      </c>
      <c r="D14" s="10">
        <v>1.6</v>
      </c>
      <c r="E14" s="5">
        <v>0.99909999999999999</v>
      </c>
      <c r="F14" s="10">
        <v>1.47</v>
      </c>
      <c r="G14" s="5">
        <v>0.98670000000000002</v>
      </c>
      <c r="H14" s="10">
        <v>1.8</v>
      </c>
      <c r="I14" s="5">
        <v>0.95730000000000004</v>
      </c>
      <c r="J14" s="10">
        <v>2.2999999999999998</v>
      </c>
      <c r="K14" s="5">
        <v>0.874</v>
      </c>
      <c r="L14" s="10">
        <v>3.1</v>
      </c>
      <c r="M14" s="5">
        <v>0.66149999999999998</v>
      </c>
      <c r="N14" s="10"/>
      <c r="O14" s="5"/>
      <c r="P14" s="10"/>
      <c r="Q14" s="5"/>
    </row>
    <row r="15" spans="2:29" x14ac:dyDescent="0.4">
      <c r="B15" s="20">
        <v>1.45</v>
      </c>
      <c r="C15" s="5">
        <f t="shared" si="0"/>
        <v>0.94483668541179422</v>
      </c>
      <c r="D15" s="10">
        <v>1.3</v>
      </c>
      <c r="E15" s="5">
        <v>0.99860000000000004</v>
      </c>
      <c r="F15" s="26">
        <v>1.42</v>
      </c>
      <c r="G15" s="18">
        <v>0.97499999999999998</v>
      </c>
      <c r="H15" s="10">
        <v>1.68</v>
      </c>
      <c r="I15" s="5">
        <v>0.95499999999999996</v>
      </c>
      <c r="J15" s="10">
        <v>2.2000000000000002</v>
      </c>
      <c r="K15" s="5">
        <v>0.88200000000000001</v>
      </c>
      <c r="L15" s="10">
        <v>2.8</v>
      </c>
      <c r="M15" s="5">
        <v>0.71199999999999997</v>
      </c>
      <c r="N15" s="10"/>
      <c r="O15" s="5"/>
      <c r="P15" s="10"/>
      <c r="Q15" s="5"/>
    </row>
    <row r="16" spans="2:29" x14ac:dyDescent="0.4">
      <c r="B16" s="20">
        <v>1.5</v>
      </c>
      <c r="C16" s="5">
        <f t="shared" si="0"/>
        <v>0.92978651228282927</v>
      </c>
      <c r="D16" s="26">
        <v>1.24</v>
      </c>
      <c r="E16" s="18">
        <v>0.99529999999999996</v>
      </c>
      <c r="F16" s="10">
        <v>1.5</v>
      </c>
      <c r="G16" s="5">
        <v>0.94299999999999995</v>
      </c>
      <c r="H16" s="26">
        <v>1.615</v>
      </c>
      <c r="I16" s="18">
        <v>0.94</v>
      </c>
      <c r="J16" s="10">
        <v>2.1</v>
      </c>
      <c r="K16" s="5">
        <v>0.88900000000000001</v>
      </c>
      <c r="L16" s="10">
        <v>2.5</v>
      </c>
      <c r="M16" s="5">
        <v>0.75649999999999995</v>
      </c>
      <c r="N16" s="10"/>
      <c r="O16" s="5"/>
      <c r="P16" s="10"/>
      <c r="Q16" s="5"/>
    </row>
    <row r="17" spans="2:28" x14ac:dyDescent="0.4">
      <c r="B17" s="20">
        <v>1.55</v>
      </c>
      <c r="C17" s="5">
        <f t="shared" si="0"/>
        <v>0.91318827243034917</v>
      </c>
      <c r="D17" s="10">
        <v>1.3</v>
      </c>
      <c r="E17" s="5">
        <v>0.98199999999999998</v>
      </c>
      <c r="F17" s="10">
        <v>1.6</v>
      </c>
      <c r="G17" s="5">
        <v>0.90639999999999998</v>
      </c>
      <c r="H17" s="10">
        <v>1.65</v>
      </c>
      <c r="I17" s="5">
        <v>0.90900000000000003</v>
      </c>
      <c r="J17" s="10">
        <v>2</v>
      </c>
      <c r="K17" s="5">
        <v>0.89280000000000004</v>
      </c>
      <c r="L17" s="10">
        <v>2.4</v>
      </c>
      <c r="M17" s="5">
        <v>0.76880000000000004</v>
      </c>
      <c r="N17" s="10"/>
      <c r="O17" s="5"/>
      <c r="P17" s="10"/>
      <c r="Q17" s="5"/>
    </row>
    <row r="18" spans="2:28" ht="16.2" thickBot="1" x14ac:dyDescent="0.45">
      <c r="B18" s="20">
        <v>1.6</v>
      </c>
      <c r="C18" s="5">
        <f t="shared" si="0"/>
        <v>0.89520026046533652</v>
      </c>
      <c r="D18" s="27">
        <v>1.4</v>
      </c>
      <c r="E18" s="17">
        <v>0.96099999999999997</v>
      </c>
      <c r="F18" s="10">
        <v>1.7</v>
      </c>
      <c r="G18" s="5">
        <v>0.86599999999999999</v>
      </c>
      <c r="H18" s="10">
        <v>1.7</v>
      </c>
      <c r="I18" s="5">
        <v>0.88300000000000001</v>
      </c>
      <c r="J18" s="10">
        <v>1.875</v>
      </c>
      <c r="K18" s="5">
        <v>0.89</v>
      </c>
      <c r="L18" s="10">
        <v>2.2999999999999998</v>
      </c>
      <c r="M18" s="5">
        <v>0.77900000000000003</v>
      </c>
      <c r="N18" s="10"/>
      <c r="O18" s="5"/>
      <c r="P18" s="10"/>
      <c r="Q18" s="5"/>
    </row>
    <row r="19" spans="2:28" ht="16.2" thickBot="1" x14ac:dyDescent="0.45">
      <c r="B19" s="20">
        <v>1.65</v>
      </c>
      <c r="C19" s="5">
        <f t="shared" si="0"/>
        <v>0.87598837652705697</v>
      </c>
      <c r="D19" s="25">
        <v>1.5</v>
      </c>
      <c r="E19" s="16">
        <f>((((1.4+1)/2)^(1.4+1)*($D19*SIN(E$5))^(2*1.4))/((1+((1.4-1)/2)*($D19*SIN(E$5))^2)^1.4*(1.4*($D19*SIN(E$5))^2-((1.4-1)/2))))^((1)/(1.4-1))</f>
        <v>0.93097323536631904</v>
      </c>
      <c r="F19" s="27">
        <v>1.8</v>
      </c>
      <c r="G19" s="17">
        <v>0.82199999999999995</v>
      </c>
      <c r="H19" s="10">
        <v>1.8</v>
      </c>
      <c r="I19" s="5">
        <v>0.83499999999999996</v>
      </c>
      <c r="J19" s="26">
        <v>1.8380000000000001</v>
      </c>
      <c r="K19" s="18">
        <v>0.86899999999999999</v>
      </c>
      <c r="L19" s="10">
        <v>2.21</v>
      </c>
      <c r="M19" s="5">
        <v>0.78300000000000003</v>
      </c>
      <c r="N19" s="10">
        <v>3.5</v>
      </c>
      <c r="O19" s="5">
        <v>0.46500000000000002</v>
      </c>
      <c r="P19" s="10"/>
      <c r="Q19" s="5"/>
    </row>
    <row r="20" spans="2:28" x14ac:dyDescent="0.4">
      <c r="B20" s="20">
        <v>1.7</v>
      </c>
      <c r="C20" s="5">
        <f t="shared" si="0"/>
        <v>0.85572107902379757</v>
      </c>
      <c r="D20" s="10">
        <v>1.6</v>
      </c>
      <c r="E20" s="5">
        <f t="shared" ref="E20:E39" si="1">((((1.4+1)/2)^(1.4+1)*($D20*SIN(E$5))^(2*1.4))/((1+((1.4-1)/2)*($D20*SIN(E$5))^2)^1.4*(1.4*($D20*SIN(E$5))^2-((1.4-1)/2))))^((1)/(1.4-1))</f>
        <v>0.89668953855954769</v>
      </c>
      <c r="F20" s="25">
        <v>1.9</v>
      </c>
      <c r="G20" s="16">
        <f t="shared" ref="G20:I36" si="2">((((1.4+1)/2)^(1.4+1)*(F20*SIN(G$5))^(2*1.4))/((1+((1.4-1)/2)*(F20*SIN(G$5))^2)^1.4*(1.4*(F20*SIN(G$5))^2-((1.4-1)/2))))^((1)/(1.4-1))</f>
        <v>0.77271704449629175</v>
      </c>
      <c r="H20" s="10">
        <v>1.9</v>
      </c>
      <c r="I20" s="16">
        <v>0.78600000000000003</v>
      </c>
      <c r="J20" s="10">
        <v>1.9</v>
      </c>
      <c r="K20" s="5">
        <v>0.81299999999999994</v>
      </c>
      <c r="L20" s="10">
        <v>2.15</v>
      </c>
      <c r="M20" s="5">
        <v>0.77800000000000002</v>
      </c>
      <c r="N20" s="10">
        <v>3.3</v>
      </c>
      <c r="O20" s="5">
        <v>0.5</v>
      </c>
      <c r="P20" s="10"/>
      <c r="Q20" s="5"/>
    </row>
    <row r="21" spans="2:28" x14ac:dyDescent="0.4">
      <c r="B21" s="20">
        <v>1.75</v>
      </c>
      <c r="C21" s="5">
        <f t="shared" si="0"/>
        <v>0.83456539208449942</v>
      </c>
      <c r="D21" s="10">
        <v>1.7</v>
      </c>
      <c r="E21" s="5">
        <f t="shared" si="1"/>
        <v>0.85748419479104809</v>
      </c>
      <c r="F21" s="10">
        <v>2</v>
      </c>
      <c r="G21" s="16">
        <f t="shared" si="2"/>
        <v>0.72660209482121385</v>
      </c>
      <c r="H21" s="10">
        <v>2</v>
      </c>
      <c r="I21" s="16">
        <v>0.73699999999999999</v>
      </c>
      <c r="J21" s="10">
        <v>2</v>
      </c>
      <c r="K21" s="5">
        <v>0.75600000000000001</v>
      </c>
      <c r="L21" s="26">
        <v>2.1259999999999999</v>
      </c>
      <c r="M21" s="18">
        <v>0.75900000000000001</v>
      </c>
      <c r="N21" s="25">
        <v>3.1</v>
      </c>
      <c r="O21" s="5">
        <v>0.53700000000000003</v>
      </c>
      <c r="P21" s="25"/>
      <c r="Q21" s="5"/>
    </row>
    <row r="22" spans="2:28" ht="16.2" thickBot="1" x14ac:dyDescent="0.45">
      <c r="B22" s="20">
        <v>1.8</v>
      </c>
      <c r="C22" s="5">
        <f t="shared" si="0"/>
        <v>0.81268379959868853</v>
      </c>
      <c r="D22" s="10">
        <v>1.8</v>
      </c>
      <c r="E22" s="5">
        <f t="shared" si="1"/>
        <v>0.81468275132784285</v>
      </c>
      <c r="F22" s="10">
        <v>2.1</v>
      </c>
      <c r="G22" s="16">
        <f t="shared" si="2"/>
        <v>0.68019385655875653</v>
      </c>
      <c r="H22" s="27">
        <v>2.1</v>
      </c>
      <c r="I22" s="17">
        <v>0.68899999999999995</v>
      </c>
      <c r="J22" s="10">
        <v>2.1</v>
      </c>
      <c r="K22" s="5">
        <v>0.70199999999999996</v>
      </c>
      <c r="L22" s="10">
        <v>2.15</v>
      </c>
      <c r="M22" s="5">
        <v>0.72199999999999998</v>
      </c>
      <c r="N22" s="10">
        <v>2.9</v>
      </c>
      <c r="O22" s="5">
        <v>0.57250000000000001</v>
      </c>
      <c r="P22" s="10"/>
      <c r="Q22" s="5"/>
    </row>
    <row r="23" spans="2:28" x14ac:dyDescent="0.4">
      <c r="B23" s="20">
        <v>1.85</v>
      </c>
      <c r="C23" s="5">
        <f t="shared" si="0"/>
        <v>0.79023188655348287</v>
      </c>
      <c r="D23" s="10">
        <v>1.9</v>
      </c>
      <c r="E23" s="5">
        <f t="shared" si="1"/>
        <v>0.76954852360491333</v>
      </c>
      <c r="F23" s="10">
        <v>2.2000000000000002</v>
      </c>
      <c r="G23" s="16">
        <f t="shared" si="2"/>
        <v>0.63429111067139099</v>
      </c>
      <c r="H23" s="25">
        <v>2.2000000000000002</v>
      </c>
      <c r="I23" s="16">
        <f t="shared" si="2"/>
        <v>0.63954414111559987</v>
      </c>
      <c r="J23" s="25">
        <v>2.2000000000000002</v>
      </c>
      <c r="K23" s="16">
        <v>0.65100000000000002</v>
      </c>
      <c r="L23" s="25">
        <v>2.2000000000000002</v>
      </c>
      <c r="M23" s="5">
        <v>0.68600000000000005</v>
      </c>
      <c r="N23" s="10">
        <v>2.7</v>
      </c>
      <c r="O23" s="5">
        <v>0.60299999999999998</v>
      </c>
      <c r="P23" s="10"/>
      <c r="Q23" s="5"/>
      <c r="AB23"/>
    </row>
    <row r="24" spans="2:28" ht="16.2" thickBot="1" x14ac:dyDescent="0.45">
      <c r="B24" s="20">
        <v>1.9</v>
      </c>
      <c r="C24" s="5">
        <f t="shared" si="0"/>
        <v>0.76735660925323457</v>
      </c>
      <c r="D24" s="10">
        <v>2</v>
      </c>
      <c r="E24" s="5">
        <f t="shared" si="1"/>
        <v>0.72321447596145572</v>
      </c>
      <c r="F24" s="10">
        <v>2.2999999999999998</v>
      </c>
      <c r="G24" s="16">
        <f t="shared" si="2"/>
        <v>0.5895251960035558</v>
      </c>
      <c r="H24" s="10">
        <v>2.2999999999999998</v>
      </c>
      <c r="I24" s="16">
        <f t="shared" si="2"/>
        <v>0.59485187765508241</v>
      </c>
      <c r="J24" s="27">
        <v>2.2999999999999998</v>
      </c>
      <c r="K24" s="17">
        <v>0.60299999999999998</v>
      </c>
      <c r="L24" s="10">
        <v>2.2999999999999998</v>
      </c>
      <c r="M24" s="5">
        <v>0.627</v>
      </c>
      <c r="N24" s="10">
        <v>2.5649999999999999</v>
      </c>
      <c r="O24" s="5">
        <v>0.61199999999999999</v>
      </c>
      <c r="P24" s="10"/>
      <c r="Q24" s="5"/>
    </row>
    <row r="25" spans="2:28" x14ac:dyDescent="0.4">
      <c r="B25" s="20">
        <v>1.95</v>
      </c>
      <c r="C25" s="5">
        <f t="shared" si="0"/>
        <v>0.74419509207184276</v>
      </c>
      <c r="D25" s="10">
        <v>2.1</v>
      </c>
      <c r="E25" s="5">
        <f t="shared" si="1"/>
        <v>0.67664948152984683</v>
      </c>
      <c r="F25" s="10">
        <v>2.4</v>
      </c>
      <c r="G25" s="16">
        <f t="shared" si="2"/>
        <v>0.54637360468298235</v>
      </c>
      <c r="H25" s="10">
        <v>2.4</v>
      </c>
      <c r="I25" s="16">
        <f t="shared" si="2"/>
        <v>0.55170761073228358</v>
      </c>
      <c r="J25" s="25">
        <v>2.4</v>
      </c>
      <c r="K25" s="16">
        <f t="shared" ref="K25" si="3">((((1.4+1)/2)^(1.4+1)*(H25*SIN(K$5))^(2*1.4))/((1+((1.4-1)/2)*(H25*SIN(K$5))^2)^1.4*(1.4*(H25*SIN(K$5))^2-((1.4-1)/2))))^((1)/(1.4-1))</f>
        <v>0.55679831860296347</v>
      </c>
      <c r="L25" s="10">
        <v>2.4</v>
      </c>
      <c r="M25" s="5">
        <v>0.57599999999999996</v>
      </c>
      <c r="N25" s="26">
        <v>2.516</v>
      </c>
      <c r="O25" s="18">
        <v>0.59350000000000003</v>
      </c>
      <c r="P25" s="10"/>
      <c r="Q25" s="5"/>
    </row>
    <row r="26" spans="2:28" x14ac:dyDescent="0.4">
      <c r="B26" s="20">
        <v>2</v>
      </c>
      <c r="C26" s="5">
        <f t="shared" si="0"/>
        <v>0.72087386148474575</v>
      </c>
      <c r="D26" s="10">
        <v>2.2000000000000002</v>
      </c>
      <c r="E26" s="5">
        <f t="shared" si="1"/>
        <v>0.63064814286359361</v>
      </c>
      <c r="F26" s="10">
        <v>2.5</v>
      </c>
      <c r="G26" s="16">
        <f t="shared" si="2"/>
        <v>0.50517853734810947</v>
      </c>
      <c r="H26" s="10">
        <v>2.5</v>
      </c>
      <c r="I26" s="16">
        <f t="shared" si="2"/>
        <v>0.51046350829404075</v>
      </c>
      <c r="J26" s="10">
        <v>2.5</v>
      </c>
      <c r="K26" s="16">
        <f t="shared" ref="K26:K28" si="4">((((1.4+1)/2)^(1.4+1)*(H26*SIN(K$5))^(2*1.4))/((1+((1.4-1)/2)*(H26*SIN(K$5))^2)^1.4*(1.4*(H26*SIN(K$5))^2-((1.4-1)/2))))^((1)/(1.4-1))</f>
        <v>0.51551387521716441</v>
      </c>
      <c r="L26" s="10">
        <v>2.5</v>
      </c>
      <c r="M26" s="5">
        <v>0.52900000000000003</v>
      </c>
      <c r="N26" s="10">
        <v>2.5499999999999998</v>
      </c>
      <c r="O26" s="5">
        <v>0.55400000000000005</v>
      </c>
      <c r="P26" s="10"/>
      <c r="Q26" s="5"/>
    </row>
    <row r="27" spans="2:28" x14ac:dyDescent="0.4">
      <c r="B27" s="20">
        <v>2.0499999999999998</v>
      </c>
      <c r="C27" s="5">
        <f t="shared" si="0"/>
        <v>0.69750843932096973</v>
      </c>
      <c r="D27" s="10">
        <v>2.2999999999999998</v>
      </c>
      <c r="E27" s="5">
        <f t="shared" si="1"/>
        <v>0.58583596022247098</v>
      </c>
      <c r="F27" s="10">
        <v>2.6</v>
      </c>
      <c r="G27" s="16">
        <f t="shared" si="2"/>
        <v>0.46616732721433957</v>
      </c>
      <c r="H27" s="10">
        <v>2.6</v>
      </c>
      <c r="I27" s="16">
        <f t="shared" si="2"/>
        <v>0.471356720670987</v>
      </c>
      <c r="J27" s="10">
        <v>2.6</v>
      </c>
      <c r="K27" s="16">
        <f t="shared" si="4"/>
        <v>0.47632163636926</v>
      </c>
      <c r="L27" s="10">
        <v>2.6</v>
      </c>
      <c r="M27" s="5">
        <v>0.48599999999999999</v>
      </c>
      <c r="N27" s="25">
        <v>2.6</v>
      </c>
      <c r="O27" s="16">
        <v>0.52200000000000002</v>
      </c>
      <c r="P27" s="25"/>
      <c r="Q27" s="5"/>
    </row>
    <row r="28" spans="2:28" ht="16.2" thickBot="1" x14ac:dyDescent="0.45">
      <c r="B28" s="20">
        <v>2.1</v>
      </c>
      <c r="C28" s="5">
        <f t="shared" si="0"/>
        <v>0.67420322706305214</v>
      </c>
      <c r="D28" s="10">
        <v>2.4</v>
      </c>
      <c r="E28" s="5">
        <f t="shared" si="1"/>
        <v>0.54268371015872352</v>
      </c>
      <c r="F28" s="10">
        <v>2.7</v>
      </c>
      <c r="G28" s="16">
        <f t="shared" si="2"/>
        <v>0.4294726999735734</v>
      </c>
      <c r="H28" s="10">
        <v>2.7</v>
      </c>
      <c r="I28" s="16">
        <f t="shared" si="2"/>
        <v>0.43452921921018928</v>
      </c>
      <c r="J28" s="10">
        <v>2.7</v>
      </c>
      <c r="K28" s="16">
        <f t="shared" si="4"/>
        <v>0.43937234568894878</v>
      </c>
      <c r="L28" s="27">
        <v>2.7</v>
      </c>
      <c r="M28" s="17">
        <v>0.44700000000000001</v>
      </c>
      <c r="N28" s="25">
        <v>2.7</v>
      </c>
      <c r="O28" s="16">
        <v>0.47199999999999998</v>
      </c>
      <c r="P28" s="25">
        <v>3.5</v>
      </c>
      <c r="Q28" s="5">
        <v>0.34599999999999997</v>
      </c>
    </row>
    <row r="29" spans="2:28" x14ac:dyDescent="0.4">
      <c r="B29" s="20">
        <v>2.15</v>
      </c>
      <c r="C29" s="5">
        <f t="shared" si="0"/>
        <v>0.65105162192761434</v>
      </c>
      <c r="D29" s="10">
        <v>2.5</v>
      </c>
      <c r="E29" s="5">
        <f t="shared" si="1"/>
        <v>0.50152659551146428</v>
      </c>
      <c r="F29" s="10">
        <v>2.8</v>
      </c>
      <c r="G29" s="16">
        <f t="shared" si="2"/>
        <v>0.39515163240801376</v>
      </c>
      <c r="H29" s="10">
        <v>2.8</v>
      </c>
      <c r="I29" s="16">
        <f t="shared" si="2"/>
        <v>0.4000463970508964</v>
      </c>
      <c r="J29" s="25">
        <v>2.8</v>
      </c>
      <c r="K29" s="16">
        <f>((((1.4+1)/2)^(1.4+1)*(H29*SIN(K$5))^(2*1.4))/((1+((1.4-1)/2)*(H29*SIN(K$5))^2)^1.4*(1.4*(H29*SIN(K$5))^2-((1.4-1)/2))))^((1)/(1.4-1))</f>
        <v>0.40473941800707208</v>
      </c>
      <c r="L29" s="25">
        <v>2.8</v>
      </c>
      <c r="M29" s="16">
        <f>((((1.4+1)/2)^(1.4+1)*(J29*SIN(M$5))^(2*1.4))/((1+((1.4-1)/2)*(J29*SIN(M$5))^2)^1.4*(1.4*(J29*SIN(M$5))^2-((1.4-1)/2))))^((1)/(1.4-1))</f>
        <v>0.41033107953838149</v>
      </c>
      <c r="N29" s="10">
        <v>2.8</v>
      </c>
      <c r="O29" s="16">
        <v>0.42899999999999999</v>
      </c>
      <c r="P29" s="10">
        <v>3.3</v>
      </c>
      <c r="Q29" s="5">
        <v>0.372</v>
      </c>
    </row>
    <row r="30" spans="2:28" x14ac:dyDescent="0.4">
      <c r="B30" s="20">
        <v>2.2000000000000002</v>
      </c>
      <c r="C30" s="5">
        <f t="shared" si="0"/>
        <v>0.62813631354919564</v>
      </c>
      <c r="D30" s="10">
        <v>2.6</v>
      </c>
      <c r="E30" s="5">
        <f t="shared" si="1"/>
        <v>0.46258509546384113</v>
      </c>
      <c r="F30" s="10">
        <v>2.9</v>
      </c>
      <c r="G30" s="16">
        <f t="shared" si="2"/>
        <v>0.36320214652323718</v>
      </c>
      <c r="H30" s="10">
        <v>2.9</v>
      </c>
      <c r="I30" s="16">
        <f t="shared" si="2"/>
        <v>0.36791373024646179</v>
      </c>
      <c r="J30" s="10">
        <v>2.9</v>
      </c>
      <c r="K30" s="16">
        <f t="shared" ref="K30:K36" si="5">((((1.4+1)/2)^(1.4+1)*(H30*SIN(K$5))^(2*1.4))/((1+((1.4-1)/2)*(H30*SIN(K$5))^2)^1.4*(1.4*(H30*SIN(K$5))^2-((1.4-1)/2))))^((1)/(1.4-1))</f>
        <v>0.37243546307410436</v>
      </c>
      <c r="L30" s="10">
        <v>2.9</v>
      </c>
      <c r="M30" s="16">
        <f t="shared" ref="M30:O36" si="6">((((1.4+1)/2)^(1.4+1)*(J30*SIN(M$5))^(2*1.4))/((1+((1.4-1)/2)*(J30*SIN(M$5))^2)^1.4*(1.4*(J30*SIN(M$5))^2-((1.4-1)/2))))^((1)/(1.4-1))</f>
        <v>0.37782859158380155</v>
      </c>
      <c r="N30" s="10">
        <v>2.9</v>
      </c>
      <c r="O30" s="16">
        <v>0.39100000000000001</v>
      </c>
      <c r="P30" s="10">
        <v>3.18</v>
      </c>
      <c r="Q30" s="5">
        <v>0.3805</v>
      </c>
    </row>
    <row r="31" spans="2:28" ht="16.2" thickBot="1" x14ac:dyDescent="0.45">
      <c r="B31" s="20">
        <v>2.25</v>
      </c>
      <c r="C31" s="5">
        <f t="shared" si="0"/>
        <v>0.60552971744757467</v>
      </c>
      <c r="D31" s="10">
        <v>2.7</v>
      </c>
      <c r="E31" s="5">
        <f t="shared" si="1"/>
        <v>0.42598550959557474</v>
      </c>
      <c r="F31" s="10">
        <v>3</v>
      </c>
      <c r="G31" s="16">
        <f t="shared" si="2"/>
        <v>0.33357777092578467</v>
      </c>
      <c r="H31" s="10">
        <v>3</v>
      </c>
      <c r="I31" s="16">
        <f t="shared" si="2"/>
        <v>0.33809119695554091</v>
      </c>
      <c r="J31" s="10">
        <v>3</v>
      </c>
      <c r="K31" s="16">
        <f t="shared" si="5"/>
        <v>0.34242665539444356</v>
      </c>
      <c r="L31" s="10">
        <v>3</v>
      </c>
      <c r="M31" s="16">
        <f t="shared" si="6"/>
        <v>0.34760260361838224</v>
      </c>
      <c r="N31" s="27">
        <v>3</v>
      </c>
      <c r="O31" s="17">
        <v>0.35730000000000001</v>
      </c>
      <c r="P31" s="26">
        <v>3.1379999999999999</v>
      </c>
      <c r="Q31" s="18">
        <v>0.373</v>
      </c>
    </row>
    <row r="32" spans="2:28" x14ac:dyDescent="0.4">
      <c r="B32" s="20">
        <v>2.2999999999999998</v>
      </c>
      <c r="C32" s="5">
        <f t="shared" si="0"/>
        <v>0.58329450812554562</v>
      </c>
      <c r="D32" s="10">
        <v>2.8</v>
      </c>
      <c r="E32" s="5">
        <f t="shared" si="1"/>
        <v>0.39177898764171454</v>
      </c>
      <c r="F32" s="10">
        <v>3.1</v>
      </c>
      <c r="G32" s="16">
        <f t="shared" si="2"/>
        <v>0.30619965817406303</v>
      </c>
      <c r="H32" s="10">
        <v>3.1</v>
      </c>
      <c r="I32" s="16">
        <f t="shared" si="2"/>
        <v>0.31050541521127234</v>
      </c>
      <c r="J32" s="10">
        <v>3.1</v>
      </c>
      <c r="K32" s="16">
        <f t="shared" si="5"/>
        <v>0.31464488394076012</v>
      </c>
      <c r="L32" s="10">
        <v>3.1</v>
      </c>
      <c r="M32" s="16">
        <f t="shared" si="6"/>
        <v>0.31959132110282829</v>
      </c>
      <c r="N32" s="25">
        <v>3.1</v>
      </c>
      <c r="O32" s="16">
        <f t="shared" si="6"/>
        <v>0.32749282829008969</v>
      </c>
      <c r="P32" s="25">
        <v>3.15</v>
      </c>
      <c r="Q32" s="16">
        <v>0.35699999999999998</v>
      </c>
    </row>
    <row r="33" spans="2:17" x14ac:dyDescent="0.4">
      <c r="B33" s="20">
        <v>2.35</v>
      </c>
      <c r="C33" s="5">
        <f t="shared" si="0"/>
        <v>0.56148422064455572</v>
      </c>
      <c r="D33" s="10">
        <v>2.9</v>
      </c>
      <c r="E33" s="5">
        <f t="shared" si="1"/>
        <v>0.3599584090233614</v>
      </c>
      <c r="F33" s="10">
        <v>3.2</v>
      </c>
      <c r="G33" s="16">
        <f t="shared" si="2"/>
        <v>0.2809665020476706</v>
      </c>
      <c r="H33" s="10">
        <v>3.2</v>
      </c>
      <c r="I33" s="16">
        <f t="shared" si="2"/>
        <v>0.28505962089186293</v>
      </c>
      <c r="J33" s="10">
        <v>3.2</v>
      </c>
      <c r="K33" s="16">
        <f t="shared" si="5"/>
        <v>0.28899778205713644</v>
      </c>
      <c r="L33" s="10">
        <v>3.2</v>
      </c>
      <c r="M33" s="16">
        <f t="shared" si="6"/>
        <v>0.29370766877237847</v>
      </c>
      <c r="N33" s="10">
        <v>3.2</v>
      </c>
      <c r="O33" s="16">
        <f t="shared" si="6"/>
        <v>0.30124032311619603</v>
      </c>
      <c r="P33" s="10">
        <v>3.2</v>
      </c>
      <c r="Q33" s="16">
        <v>0.33200000000000002</v>
      </c>
    </row>
    <row r="34" spans="2:17" x14ac:dyDescent="0.4">
      <c r="B34" s="20">
        <v>2.4</v>
      </c>
      <c r="C34" s="5">
        <f t="shared" si="0"/>
        <v>0.54014389488089332</v>
      </c>
      <c r="D34" s="10">
        <v>3</v>
      </c>
      <c r="E34" s="5">
        <f t="shared" si="1"/>
        <v>0.33047286769050638</v>
      </c>
      <c r="F34" s="10">
        <v>3.3</v>
      </c>
      <c r="G34" s="16">
        <f t="shared" si="2"/>
        <v>0.25776248190390483</v>
      </c>
      <c r="H34" s="10">
        <v>3.3</v>
      </c>
      <c r="I34" s="16">
        <f t="shared" si="2"/>
        <v>0.2616416961413689</v>
      </c>
      <c r="J34" s="10">
        <v>3.3</v>
      </c>
      <c r="K34" s="16">
        <f t="shared" si="5"/>
        <v>0.26537683152192743</v>
      </c>
      <c r="L34" s="10">
        <v>3.3</v>
      </c>
      <c r="M34" s="16">
        <f t="shared" si="6"/>
        <v>0.26984747848186424</v>
      </c>
      <c r="N34" s="10">
        <v>3.3</v>
      </c>
      <c r="O34" s="16">
        <f t="shared" si="6"/>
        <v>0.27700556840957719</v>
      </c>
      <c r="P34" s="10">
        <v>3.3</v>
      </c>
      <c r="Q34" s="5">
        <v>0.29799999999999999</v>
      </c>
    </row>
    <row r="35" spans="2:17" ht="16.2" thickBot="1" x14ac:dyDescent="0.45">
      <c r="B35" s="20">
        <v>2.4500000000000002</v>
      </c>
      <c r="C35" s="5">
        <f t="shared" si="0"/>
        <v>0.51931074139979472</v>
      </c>
      <c r="D35" s="10">
        <v>3.1</v>
      </c>
      <c r="E35" s="5">
        <f t="shared" si="1"/>
        <v>0.3032397706324319</v>
      </c>
      <c r="F35" s="10">
        <v>3.4</v>
      </c>
      <c r="G35" s="16">
        <f t="shared" si="2"/>
        <v>0.23646349585475601</v>
      </c>
      <c r="H35" s="10">
        <v>3.4</v>
      </c>
      <c r="I35" s="16">
        <f t="shared" si="2"/>
        <v>0.2401304976683529</v>
      </c>
      <c r="J35" s="10">
        <v>3.4</v>
      </c>
      <c r="K35" s="16">
        <f t="shared" si="5"/>
        <v>0.24366377826453306</v>
      </c>
      <c r="L35" s="10">
        <v>3.4</v>
      </c>
      <c r="M35" s="16">
        <f t="shared" si="6"/>
        <v>0.24789600420801144</v>
      </c>
      <c r="N35" s="10">
        <v>3.4</v>
      </c>
      <c r="O35" s="16">
        <f t="shared" si="6"/>
        <v>0.25467954157828859</v>
      </c>
      <c r="P35" s="27">
        <v>3.4</v>
      </c>
      <c r="Q35" s="17">
        <v>0.27</v>
      </c>
    </row>
    <row r="36" spans="2:17" x14ac:dyDescent="0.4">
      <c r="B36" s="20">
        <v>2.5</v>
      </c>
      <c r="C36" s="5">
        <f t="shared" si="0"/>
        <v>0.49901481202915121</v>
      </c>
      <c r="D36" s="10">
        <v>3.2</v>
      </c>
      <c r="E36" s="5">
        <f t="shared" si="1"/>
        <v>0.27815470942422532</v>
      </c>
      <c r="F36" s="10">
        <v>3.5</v>
      </c>
      <c r="G36" s="16">
        <f t="shared" si="2"/>
        <v>0.21694194788937024</v>
      </c>
      <c r="H36" s="10">
        <v>3.5</v>
      </c>
      <c r="I36" s="16">
        <f t="shared" si="2"/>
        <v>0.22040074148669114</v>
      </c>
      <c r="J36" s="10">
        <v>3.5</v>
      </c>
      <c r="K36" s="16">
        <f t="shared" si="5"/>
        <v>0.22373560792157701</v>
      </c>
      <c r="L36" s="10">
        <v>3.5</v>
      </c>
      <c r="M36" s="16">
        <f t="shared" si="6"/>
        <v>0.22773300220591197</v>
      </c>
      <c r="N36" s="10">
        <v>3.5</v>
      </c>
      <c r="O36" s="16">
        <f t="shared" si="6"/>
        <v>0.23414655206576382</v>
      </c>
      <c r="P36" s="25">
        <v>3.5</v>
      </c>
      <c r="Q36" s="16">
        <f t="shared" ref="Q36" si="7">((((1.4+1)/2)^(1.4+1)*(P36*SIN(Q$5))^(2*1.4))/((1+((1.4-1)/2)*(P36*SIN(Q$5))^2)^1.4*(1.4*(P36*SIN(Q$5))^2-((1.4-1)/2))))^((1)/(1.4-1))</f>
        <v>0.24627140920000326</v>
      </c>
    </row>
    <row r="37" spans="2:17" x14ac:dyDescent="0.4">
      <c r="B37" s="20">
        <v>2.5499999999999998</v>
      </c>
      <c r="C37" s="5">
        <f t="shared" si="0"/>
        <v>0.47927966180462583</v>
      </c>
      <c r="D37" s="10">
        <v>3.3</v>
      </c>
      <c r="E37" s="5">
        <f t="shared" si="1"/>
        <v>0.25509934359305275</v>
      </c>
      <c r="F37" s="10"/>
      <c r="G37" s="5"/>
      <c r="H37" s="10"/>
      <c r="I37" s="5"/>
      <c r="J37" s="10"/>
      <c r="K37" s="5"/>
      <c r="L37" s="10"/>
      <c r="M37" s="16"/>
      <c r="N37" s="10"/>
      <c r="O37" s="5"/>
      <c r="P37" s="10"/>
      <c r="Q37" s="5"/>
    </row>
    <row r="38" spans="2:17" x14ac:dyDescent="0.4">
      <c r="B38" s="20">
        <v>2.6</v>
      </c>
      <c r="C38" s="5">
        <f t="shared" si="0"/>
        <v>0.4601229920348951</v>
      </c>
      <c r="D38" s="10">
        <v>3.4</v>
      </c>
      <c r="E38" s="5">
        <f t="shared" si="1"/>
        <v>0.23394756592546659</v>
      </c>
      <c r="F38" s="10"/>
      <c r="G38" s="5"/>
      <c r="H38" s="10"/>
      <c r="I38" s="5"/>
      <c r="J38" s="10"/>
      <c r="K38" s="5"/>
      <c r="L38" s="10"/>
      <c r="M38" s="5"/>
      <c r="N38" s="10"/>
      <c r="O38" s="5"/>
      <c r="P38" s="10"/>
      <c r="Q38" s="5"/>
    </row>
    <row r="39" spans="2:17" x14ac:dyDescent="0.4">
      <c r="B39" s="20">
        <v>2.65</v>
      </c>
      <c r="C39" s="5">
        <f t="shared" si="0"/>
        <v>0.44155726684386321</v>
      </c>
      <c r="D39" s="10">
        <v>3.5</v>
      </c>
      <c r="E39" s="5">
        <f t="shared" si="1"/>
        <v>0.21457022062792372</v>
      </c>
      <c r="F39" s="10"/>
      <c r="G39" s="5"/>
      <c r="H39" s="10"/>
      <c r="I39" s="5"/>
      <c r="J39" s="10"/>
      <c r="K39" s="5"/>
      <c r="L39" s="10"/>
      <c r="M39" s="5"/>
      <c r="N39" s="10"/>
      <c r="O39" s="5"/>
      <c r="P39" s="10"/>
      <c r="Q39" s="5"/>
    </row>
    <row r="40" spans="2:17" x14ac:dyDescent="0.4">
      <c r="B40" s="20">
        <v>2.7</v>
      </c>
      <c r="C40" s="5">
        <f t="shared" si="0"/>
        <v>0.4235902977319202</v>
      </c>
      <c r="D40" s="10"/>
      <c r="E40" s="5"/>
      <c r="F40" s="10"/>
      <c r="G40" s="5"/>
      <c r="H40" s="10"/>
      <c r="I40" s="5"/>
      <c r="J40" s="10"/>
      <c r="K40" s="5"/>
      <c r="L40" s="10"/>
      <c r="M40" s="5"/>
      <c r="N40" s="10"/>
      <c r="O40" s="5"/>
      <c r="P40" s="10"/>
      <c r="Q40" s="5"/>
    </row>
    <row r="41" spans="2:17" x14ac:dyDescent="0.4">
      <c r="B41" s="20">
        <v>2.75</v>
      </c>
      <c r="C41" s="5">
        <f t="shared" si="0"/>
        <v>0.4062257925068673</v>
      </c>
      <c r="D41" s="10"/>
      <c r="E41" s="5"/>
      <c r="F41" s="10"/>
      <c r="G41" s="5"/>
      <c r="H41" s="10"/>
      <c r="I41" s="5"/>
      <c r="J41" s="10"/>
      <c r="K41" s="5"/>
      <c r="L41" s="10"/>
      <c r="M41" s="5"/>
      <c r="N41" s="10"/>
      <c r="O41" s="5"/>
      <c r="P41" s="10"/>
      <c r="Q41" s="5"/>
    </row>
    <row r="42" spans="2:17" x14ac:dyDescent="0.4">
      <c r="B42" s="20">
        <v>2.8</v>
      </c>
      <c r="C42" s="5">
        <f t="shared" si="0"/>
        <v>0.38946386641192116</v>
      </c>
      <c r="D42" s="10"/>
      <c r="E42" s="5"/>
      <c r="F42" s="10"/>
      <c r="G42" s="5"/>
      <c r="H42" s="10"/>
      <c r="I42" s="5"/>
      <c r="J42" s="10"/>
      <c r="K42" s="5"/>
      <c r="L42" s="10"/>
      <c r="M42" s="5"/>
      <c r="N42" s="10"/>
      <c r="O42" s="5"/>
      <c r="P42" s="10"/>
      <c r="Q42" s="5"/>
    </row>
    <row r="43" spans="2:17" x14ac:dyDescent="0.4">
      <c r="B43" s="20">
        <v>2.85</v>
      </c>
      <c r="C43" s="5">
        <f t="shared" si="0"/>
        <v>0.37330151446622861</v>
      </c>
      <c r="D43" s="10"/>
      <c r="E43" s="5"/>
      <c r="F43" s="10"/>
      <c r="G43" s="5"/>
      <c r="H43" s="10"/>
      <c r="I43" s="5"/>
      <c r="J43" s="10"/>
      <c r="K43" s="5"/>
      <c r="L43" s="10"/>
      <c r="M43" s="5"/>
      <c r="N43" s="10"/>
      <c r="O43" s="5"/>
      <c r="P43" s="10"/>
      <c r="Q43" s="5"/>
    </row>
    <row r="44" spans="2:17" x14ac:dyDescent="0.4">
      <c r="B44" s="20">
        <v>2.9</v>
      </c>
      <c r="C44" s="5">
        <f t="shared" si="0"/>
        <v>0.35773304497254471</v>
      </c>
      <c r="D44" s="10"/>
      <c r="E44" s="5"/>
      <c r="F44" s="10"/>
      <c r="G44" s="5"/>
      <c r="H44" s="10"/>
      <c r="I44" s="5"/>
      <c r="J44" s="10"/>
      <c r="K44" s="5"/>
      <c r="L44" s="10"/>
      <c r="M44" s="5"/>
      <c r="N44" s="10"/>
      <c r="O44" s="5"/>
      <c r="P44" s="10"/>
      <c r="Q44" s="5"/>
    </row>
    <row r="45" spans="2:17" x14ac:dyDescent="0.4">
      <c r="B45" s="20">
        <v>2.95</v>
      </c>
      <c r="C45" s="5">
        <f t="shared" si="0"/>
        <v>0.34275047487402643</v>
      </c>
      <c r="D45" s="10"/>
      <c r="E45" s="5"/>
      <c r="F45" s="10"/>
      <c r="G45" s="5"/>
      <c r="H45" s="10"/>
      <c r="I45" s="5"/>
      <c r="J45" s="10"/>
      <c r="K45" s="5"/>
      <c r="L45" s="10"/>
      <c r="M45" s="5"/>
      <c r="N45" s="10"/>
      <c r="O45" s="5"/>
      <c r="P45" s="10"/>
      <c r="Q45" s="5"/>
    </row>
    <row r="46" spans="2:17" x14ac:dyDescent="0.4">
      <c r="B46" s="20">
        <v>3</v>
      </c>
      <c r="C46" s="5">
        <f t="shared" si="0"/>
        <v>0.32834388819073695</v>
      </c>
      <c r="D46" s="10"/>
      <c r="E46" s="5"/>
      <c r="F46" s="10"/>
      <c r="G46" s="5"/>
      <c r="H46" s="10"/>
      <c r="I46" s="5"/>
      <c r="J46" s="10"/>
      <c r="K46" s="5"/>
      <c r="L46" s="10"/>
      <c r="M46" s="5"/>
      <c r="N46" s="10"/>
      <c r="O46" s="5"/>
      <c r="P46" s="10"/>
      <c r="Q46" s="5"/>
    </row>
    <row r="47" spans="2:17" x14ac:dyDescent="0.4">
      <c r="B47" s="20">
        <v>3.05</v>
      </c>
      <c r="C47" s="5">
        <f t="shared" si="0"/>
        <v>0.3145017591661417</v>
      </c>
      <c r="D47" s="10"/>
      <c r="E47" s="5"/>
      <c r="F47" s="10"/>
      <c r="G47" s="5"/>
      <c r="H47" s="10"/>
      <c r="I47" s="13"/>
      <c r="J47" s="10"/>
      <c r="K47" s="13"/>
      <c r="L47" s="10"/>
      <c r="M47" s="13"/>
      <c r="N47" s="10"/>
      <c r="O47" s="13"/>
      <c r="P47" s="10"/>
      <c r="Q47" s="13"/>
    </row>
    <row r="48" spans="2:17" x14ac:dyDescent="0.4">
      <c r="B48" s="20">
        <v>3.1</v>
      </c>
      <c r="C48" s="5">
        <f t="shared" si="0"/>
        <v>0.30121124203081562</v>
      </c>
      <c r="D48" s="10"/>
      <c r="E48" s="5"/>
      <c r="F48" s="10"/>
      <c r="G48" s="5"/>
      <c r="H48" s="10"/>
      <c r="I48" s="13"/>
      <c r="J48" s="10"/>
      <c r="K48" s="13"/>
      <c r="L48" s="10"/>
      <c r="M48" s="13"/>
      <c r="N48" s="10"/>
      <c r="O48" s="13"/>
      <c r="P48" s="10"/>
      <c r="Q48" s="13"/>
    </row>
    <row r="49" spans="2:17" x14ac:dyDescent="0.4">
      <c r="B49" s="20">
        <v>3.15</v>
      </c>
      <c r="C49" s="5">
        <f t="shared" si="0"/>
        <v>0.28845842946759725</v>
      </c>
      <c r="D49" s="10"/>
      <c r="E49" s="5"/>
      <c r="F49" s="10"/>
      <c r="G49" s="5"/>
      <c r="H49" s="10"/>
      <c r="I49" s="13"/>
      <c r="J49" s="10"/>
      <c r="K49" s="13"/>
      <c r="L49" s="10"/>
      <c r="M49" s="13"/>
      <c r="N49" s="10"/>
      <c r="O49" s="13"/>
      <c r="P49" s="10"/>
      <c r="Q49" s="13"/>
    </row>
    <row r="50" spans="2:17" x14ac:dyDescent="0.4">
      <c r="B50" s="20">
        <v>3.2</v>
      </c>
      <c r="C50" s="5">
        <f t="shared" si="0"/>
        <v>0.27622858195917344</v>
      </c>
      <c r="D50" s="10"/>
      <c r="E50" s="5"/>
      <c r="F50" s="10"/>
      <c r="G50" s="5"/>
      <c r="H50" s="10"/>
      <c r="I50" s="13"/>
      <c r="J50" s="10"/>
      <c r="K50" s="13"/>
      <c r="L50" s="10"/>
      <c r="M50" s="13"/>
      <c r="N50" s="10"/>
      <c r="O50" s="13"/>
      <c r="P50" s="10"/>
      <c r="Q50" s="13"/>
    </row>
    <row r="51" spans="2:17" x14ac:dyDescent="0.4">
      <c r="B51" s="20">
        <v>3.25</v>
      </c>
      <c r="C51" s="5">
        <f t="shared" si="0"/>
        <v>0.26450633023243536</v>
      </c>
      <c r="D51" s="10"/>
      <c r="E51" s="5"/>
      <c r="F51" s="10"/>
      <c r="G51" s="5"/>
      <c r="H51" s="10"/>
      <c r="I51" s="13"/>
      <c r="J51" s="10"/>
      <c r="K51" s="13"/>
      <c r="L51" s="10"/>
      <c r="M51" s="13"/>
      <c r="N51" s="10"/>
      <c r="O51" s="13"/>
      <c r="P51" s="10"/>
      <c r="Q51" s="13"/>
    </row>
    <row r="52" spans="2:17" x14ac:dyDescent="0.4">
      <c r="B52" s="20">
        <v>3.3</v>
      </c>
      <c r="C52" s="5">
        <f t="shared" si="0"/>
        <v>0.25327585299801569</v>
      </c>
      <c r="D52" s="10"/>
      <c r="E52" s="5"/>
      <c r="F52" s="10"/>
      <c r="G52" s="5"/>
      <c r="H52" s="10"/>
      <c r="I52" s="13"/>
      <c r="J52" s="10"/>
      <c r="K52" s="13"/>
      <c r="L52" s="10"/>
      <c r="M52" s="13"/>
      <c r="N52" s="10"/>
      <c r="O52" s="13"/>
      <c r="P52" s="10"/>
      <c r="Q52" s="13"/>
    </row>
    <row r="53" spans="2:17" x14ac:dyDescent="0.4">
      <c r="B53" s="20">
        <v>3.35</v>
      </c>
      <c r="C53" s="5">
        <f t="shared" si="0"/>
        <v>0.24252103213017481</v>
      </c>
      <c r="D53" s="10"/>
      <c r="E53" s="5"/>
      <c r="F53" s="10"/>
      <c r="G53" s="5"/>
      <c r="H53" s="10"/>
      <c r="I53" s="13"/>
      <c r="J53" s="10"/>
      <c r="K53" s="13"/>
      <c r="L53" s="10"/>
      <c r="M53" s="13"/>
      <c r="N53" s="10"/>
      <c r="O53" s="13"/>
      <c r="P53" s="10"/>
      <c r="Q53" s="13"/>
    </row>
    <row r="54" spans="2:17" customFormat="1" x14ac:dyDescent="0.4">
      <c r="B54" s="20">
        <v>3.4</v>
      </c>
      <c r="C54" s="5">
        <f t="shared" si="0"/>
        <v>0.23222558735142332</v>
      </c>
      <c r="D54" s="10"/>
      <c r="E54" s="5"/>
      <c r="F54" s="10"/>
      <c r="G54" s="5"/>
      <c r="H54" s="10"/>
      <c r="I54" s="13"/>
      <c r="J54" s="10"/>
      <c r="K54" s="13"/>
      <c r="L54" s="10"/>
      <c r="M54" s="13"/>
      <c r="N54" s="10"/>
      <c r="O54" s="13"/>
      <c r="P54" s="10"/>
      <c r="Q54" s="13"/>
    </row>
    <row r="55" spans="2:17" customFormat="1" x14ac:dyDescent="0.4">
      <c r="B55" s="20">
        <v>3.45</v>
      </c>
      <c r="C55" s="5">
        <f t="shared" si="0"/>
        <v>0.22237319238607181</v>
      </c>
      <c r="D55" s="10"/>
      <c r="E55" s="5"/>
      <c r="F55" s="10"/>
      <c r="G55" s="5"/>
      <c r="H55" s="10"/>
      <c r="I55" s="13"/>
      <c r="J55" s="10"/>
      <c r="K55" s="13"/>
      <c r="L55" s="10"/>
      <c r="M55" s="13"/>
      <c r="N55" s="10"/>
      <c r="O55" s="13"/>
      <c r="P55" s="10"/>
      <c r="Q55" s="13"/>
    </row>
    <row r="56" spans="2:17" customFormat="1" x14ac:dyDescent="0.4">
      <c r="B56" s="20">
        <v>3.5</v>
      </c>
      <c r="C56" s="5">
        <f t="shared" si="0"/>
        <v>0.2129475744338053</v>
      </c>
      <c r="D56" s="10"/>
      <c r="E56" s="5"/>
      <c r="F56" s="10"/>
      <c r="G56" s="5"/>
      <c r="H56" s="10"/>
      <c r="I56" s="13"/>
      <c r="J56" s="10"/>
      <c r="K56" s="13"/>
      <c r="L56" s="10"/>
      <c r="M56" s="13"/>
      <c r="N56" s="10"/>
      <c r="O56" s="13"/>
      <c r="P56" s="10"/>
      <c r="Q56" s="13"/>
    </row>
    <row r="57" spans="2:17" customFormat="1" ht="14.4" x14ac:dyDescent="0.3">
      <c r="B57" s="22"/>
      <c r="D57" s="28"/>
      <c r="F57" s="28"/>
      <c r="H57" s="28"/>
      <c r="J57" s="28"/>
      <c r="L57" s="28"/>
      <c r="N57" s="28"/>
      <c r="P57" s="28"/>
    </row>
    <row r="58" spans="2:17" customFormat="1" ht="14.4" x14ac:dyDescent="0.3">
      <c r="B58" s="22"/>
      <c r="D58" s="28"/>
      <c r="F58" s="28"/>
      <c r="H58" s="28"/>
      <c r="J58" s="28"/>
      <c r="L58" s="28"/>
      <c r="N58" s="28"/>
      <c r="P58" s="28"/>
    </row>
    <row r="59" spans="2:17" customFormat="1" ht="14.4" x14ac:dyDescent="0.3">
      <c r="B59" s="22"/>
      <c r="D59" s="28"/>
      <c r="F59" s="28"/>
      <c r="H59" s="28"/>
      <c r="J59" s="28"/>
      <c r="L59" s="28"/>
      <c r="N59" s="28"/>
      <c r="P59" s="28"/>
    </row>
    <row r="60" spans="2:17" customFormat="1" ht="14.4" x14ac:dyDescent="0.3">
      <c r="B60" s="22"/>
      <c r="D60" s="28"/>
      <c r="F60" s="28"/>
      <c r="H60" s="28"/>
      <c r="J60" s="28"/>
      <c r="L60" s="28"/>
      <c r="N60" s="28"/>
      <c r="P60" s="28"/>
    </row>
    <row r="61" spans="2:17" customFormat="1" ht="14.4" x14ac:dyDescent="0.3">
      <c r="B61" s="22"/>
      <c r="D61" s="28"/>
      <c r="F61" s="28"/>
      <c r="H61" s="28"/>
      <c r="J61" s="28"/>
      <c r="L61" s="28"/>
      <c r="N61" s="28"/>
      <c r="P61" s="28"/>
    </row>
    <row r="62" spans="2:17" customFormat="1" ht="14.4" x14ac:dyDescent="0.3">
      <c r="B62" s="22"/>
      <c r="D62" s="28"/>
      <c r="F62" s="28"/>
      <c r="H62" s="28"/>
      <c r="J62" s="28"/>
      <c r="L62" s="28"/>
      <c r="N62" s="28"/>
      <c r="P62" s="28"/>
    </row>
    <row r="63" spans="2:17" customFormat="1" ht="14.4" x14ac:dyDescent="0.3">
      <c r="B63" s="22"/>
      <c r="D63" s="28"/>
      <c r="F63" s="28"/>
      <c r="H63" s="28"/>
      <c r="J63" s="28"/>
      <c r="L63" s="28"/>
      <c r="N63" s="28"/>
      <c r="P63" s="28"/>
    </row>
    <row r="64" spans="2:17" x14ac:dyDescent="0.4">
      <c r="D64" s="28"/>
    </row>
    <row r="65" spans="4:4" x14ac:dyDescent="0.4">
      <c r="D65" s="28"/>
    </row>
    <row r="66" spans="4:4" x14ac:dyDescent="0.4">
      <c r="D66" s="28"/>
    </row>
    <row r="67" spans="4:4" x14ac:dyDescent="0.4">
      <c r="D67" s="28"/>
    </row>
    <row r="68" spans="4:4" x14ac:dyDescent="0.4">
      <c r="D68" s="28"/>
    </row>
    <row r="69" spans="4:4" x14ac:dyDescent="0.4">
      <c r="D69" s="28"/>
    </row>
    <row r="70" spans="4:4" x14ac:dyDescent="0.4">
      <c r="D70" s="28"/>
    </row>
    <row r="71" spans="4:4" x14ac:dyDescent="0.4">
      <c r="D71" s="28"/>
    </row>
    <row r="72" spans="4:4" x14ac:dyDescent="0.4">
      <c r="D72" s="28"/>
    </row>
    <row r="73" spans="4:4" x14ac:dyDescent="0.4">
      <c r="D73" s="28"/>
    </row>
    <row r="74" spans="4:4" x14ac:dyDescent="0.4">
      <c r="D74" s="28"/>
    </row>
  </sheetData>
  <mergeCells count="15">
    <mergeCell ref="H2:H5"/>
    <mergeCell ref="I3:I4"/>
    <mergeCell ref="J2:J5"/>
    <mergeCell ref="K3:K4"/>
    <mergeCell ref="M3:M4"/>
    <mergeCell ref="O3:O4"/>
    <mergeCell ref="Q3:Q4"/>
    <mergeCell ref="L2:L5"/>
    <mergeCell ref="N2:N5"/>
    <mergeCell ref="P2:P5"/>
    <mergeCell ref="E3:E4"/>
    <mergeCell ref="F2:F5"/>
    <mergeCell ref="G3:G4"/>
    <mergeCell ref="D2:D5"/>
    <mergeCell ref="B2:B5"/>
  </mergeCells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1DE34-B1B3-4D4C-92A2-DA5E0EED9EFA}">
  <dimension ref="B2:R55"/>
  <sheetViews>
    <sheetView zoomScaleNormal="100" workbookViewId="0">
      <selection activeCell="AC2" sqref="AC2"/>
    </sheetView>
  </sheetViews>
  <sheetFormatPr baseColWidth="10" defaultColWidth="11.5546875" defaultRowHeight="15.6" x14ac:dyDescent="0.4"/>
  <cols>
    <col min="1" max="1" width="2.6640625" style="1" customWidth="1"/>
    <col min="2" max="3" width="13.88671875" style="24" customWidth="1"/>
    <col min="4" max="4" width="13.88671875" style="1" customWidth="1"/>
    <col min="5" max="7" width="13.88671875" style="24" customWidth="1"/>
    <col min="8" max="9" width="13.88671875" style="1" customWidth="1"/>
    <col min="10" max="11" width="13.88671875" style="24" customWidth="1"/>
    <col min="12" max="13" width="13.88671875" style="1" customWidth="1"/>
    <col min="14" max="15" width="13.88671875" style="24" customWidth="1"/>
    <col min="16" max="17" width="13.88671875" style="1" customWidth="1"/>
    <col min="18" max="18" width="13.88671875" style="24" customWidth="1"/>
    <col min="19" max="19" width="2.6640625" style="1" customWidth="1"/>
    <col min="20" max="16384" width="11.5546875" style="1"/>
  </cols>
  <sheetData>
    <row r="2" spans="2:18" ht="15.6" customHeight="1" x14ac:dyDescent="0.4">
      <c r="B2" s="42" t="s">
        <v>15</v>
      </c>
      <c r="C2" s="31" t="s">
        <v>14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2:18" x14ac:dyDescent="0.4">
      <c r="B3" s="43"/>
      <c r="C3" s="48">
        <v>0</v>
      </c>
      <c r="D3" s="48"/>
      <c r="E3" s="48">
        <v>5</v>
      </c>
      <c r="F3" s="48"/>
      <c r="G3" s="49">
        <v>10</v>
      </c>
      <c r="H3" s="50"/>
      <c r="I3" s="49">
        <v>15</v>
      </c>
      <c r="J3" s="50"/>
      <c r="K3" s="49">
        <v>20</v>
      </c>
      <c r="L3" s="50"/>
      <c r="M3" s="49">
        <v>25</v>
      </c>
      <c r="N3" s="50"/>
      <c r="O3" s="49">
        <v>30</v>
      </c>
      <c r="P3" s="50"/>
      <c r="Q3" s="49">
        <v>35</v>
      </c>
      <c r="R3" s="50"/>
    </row>
    <row r="4" spans="2:18" x14ac:dyDescent="0.4">
      <c r="B4" s="44"/>
      <c r="C4" s="29" t="s">
        <v>13</v>
      </c>
      <c r="D4" s="7" t="s">
        <v>14</v>
      </c>
      <c r="E4" s="29" t="s">
        <v>13</v>
      </c>
      <c r="F4" s="7" t="s">
        <v>14</v>
      </c>
      <c r="G4" s="29" t="s">
        <v>13</v>
      </c>
      <c r="H4" s="7" t="s">
        <v>14</v>
      </c>
      <c r="I4" s="29" t="s">
        <v>13</v>
      </c>
      <c r="J4" s="7" t="s">
        <v>14</v>
      </c>
      <c r="K4" s="29" t="s">
        <v>13</v>
      </c>
      <c r="L4" s="7" t="s">
        <v>14</v>
      </c>
      <c r="M4" s="29" t="s">
        <v>13</v>
      </c>
      <c r="N4" s="7" t="s">
        <v>14</v>
      </c>
      <c r="O4" s="29" t="s">
        <v>13</v>
      </c>
      <c r="P4" s="7" t="s">
        <v>14</v>
      </c>
      <c r="Q4" s="29" t="s">
        <v>13</v>
      </c>
      <c r="R4" s="7" t="s">
        <v>14</v>
      </c>
    </row>
    <row r="5" spans="2:18" x14ac:dyDescent="0.4">
      <c r="B5" s="10">
        <v>1</v>
      </c>
      <c r="C5" s="26">
        <v>1</v>
      </c>
      <c r="D5" s="26">
        <v>1</v>
      </c>
      <c r="E5" s="10">
        <v>3.5</v>
      </c>
      <c r="F5" s="3">
        <v>3.2</v>
      </c>
      <c r="G5" s="10">
        <v>3.5</v>
      </c>
      <c r="H5" s="3">
        <v>2.9049999999999998</v>
      </c>
      <c r="I5" s="10">
        <v>3.5</v>
      </c>
      <c r="J5" s="3">
        <v>2.61</v>
      </c>
      <c r="K5" s="10">
        <v>3.5</v>
      </c>
      <c r="L5" s="3">
        <v>2.2999999999999998</v>
      </c>
      <c r="M5" s="10">
        <v>3.5</v>
      </c>
      <c r="N5" s="3">
        <v>1.9830000000000001</v>
      </c>
      <c r="O5" s="10">
        <v>3.5</v>
      </c>
      <c r="P5" s="3">
        <v>1.657</v>
      </c>
      <c r="Q5" s="10">
        <v>3.5</v>
      </c>
      <c r="R5" s="3">
        <v>1.268</v>
      </c>
    </row>
    <row r="6" spans="2:18" x14ac:dyDescent="0.4">
      <c r="B6" s="10">
        <v>1.1000000000000001</v>
      </c>
      <c r="C6" s="10">
        <v>1.1000000000000001</v>
      </c>
      <c r="D6" s="3">
        <v>0.91</v>
      </c>
      <c r="E6" s="10">
        <v>3</v>
      </c>
      <c r="F6" s="3">
        <v>2.75</v>
      </c>
      <c r="G6" s="10">
        <v>3</v>
      </c>
      <c r="H6" s="3">
        <v>2.5099999999999998</v>
      </c>
      <c r="I6" s="10">
        <v>3</v>
      </c>
      <c r="J6" s="3">
        <v>2.2599999999999998</v>
      </c>
      <c r="K6" s="10">
        <v>3</v>
      </c>
      <c r="L6" s="3">
        <v>1.9930000000000001</v>
      </c>
      <c r="M6" s="10">
        <v>3.2</v>
      </c>
      <c r="N6" s="3">
        <v>1.83</v>
      </c>
      <c r="O6" s="10">
        <v>3.2</v>
      </c>
      <c r="P6" s="3">
        <v>1.516</v>
      </c>
      <c r="Q6" s="10">
        <v>3.3</v>
      </c>
      <c r="R6" s="3">
        <v>1.1559999999999999</v>
      </c>
    </row>
    <row r="7" spans="2:18" x14ac:dyDescent="0.4">
      <c r="B7" s="10">
        <v>1.2</v>
      </c>
      <c r="C7" s="10">
        <v>1.2</v>
      </c>
      <c r="D7" s="3">
        <v>0.84199999999999997</v>
      </c>
      <c r="E7" s="10">
        <v>2.5</v>
      </c>
      <c r="F7" s="3">
        <v>2.2999999999999998</v>
      </c>
      <c r="G7" s="10">
        <v>2.5</v>
      </c>
      <c r="H7" s="3">
        <v>2.0880000000000001</v>
      </c>
      <c r="I7" s="10">
        <v>2.5</v>
      </c>
      <c r="J7" s="3">
        <v>1.875</v>
      </c>
      <c r="K7" s="10">
        <v>2.5</v>
      </c>
      <c r="L7" s="3">
        <v>1.6479999999999999</v>
      </c>
      <c r="M7" s="10">
        <v>2.9</v>
      </c>
      <c r="N7" s="3">
        <v>1.66</v>
      </c>
      <c r="O7" s="10">
        <v>2.9</v>
      </c>
      <c r="P7" s="3">
        <v>1.3460000000000001</v>
      </c>
      <c r="Q7" s="10">
        <v>3.2</v>
      </c>
      <c r="R7" s="3">
        <v>1.073</v>
      </c>
    </row>
    <row r="8" spans="2:18" x14ac:dyDescent="0.4">
      <c r="B8" s="10">
        <v>1.3</v>
      </c>
      <c r="C8" s="10">
        <v>1.3</v>
      </c>
      <c r="D8" s="3">
        <v>0.78600000000000003</v>
      </c>
      <c r="E8" s="10">
        <v>2</v>
      </c>
      <c r="F8" s="3">
        <v>1.825</v>
      </c>
      <c r="G8" s="10">
        <v>2</v>
      </c>
      <c r="H8" s="3">
        <v>1.6439999999999999</v>
      </c>
      <c r="I8" s="10">
        <v>2</v>
      </c>
      <c r="J8" s="3">
        <v>1.45</v>
      </c>
      <c r="K8" s="10">
        <v>2.2000000000000002</v>
      </c>
      <c r="L8" s="3">
        <v>1.4059999999999999</v>
      </c>
      <c r="M8" s="10">
        <v>2.6</v>
      </c>
      <c r="N8" s="3">
        <v>1.4650000000000001</v>
      </c>
      <c r="O8" s="10">
        <v>2.7</v>
      </c>
      <c r="P8" s="3">
        <v>1.21</v>
      </c>
      <c r="Q8" s="26">
        <v>3.1440000000000001</v>
      </c>
      <c r="R8" s="26">
        <v>0.95699999999999996</v>
      </c>
    </row>
    <row r="9" spans="2:18" x14ac:dyDescent="0.4">
      <c r="B9" s="10">
        <v>1.4</v>
      </c>
      <c r="C9" s="10">
        <v>1.4</v>
      </c>
      <c r="D9" s="3">
        <v>0.74</v>
      </c>
      <c r="E9" s="10">
        <v>1.5</v>
      </c>
      <c r="F9" s="3">
        <v>1.327</v>
      </c>
      <c r="G9" s="10">
        <v>1.7</v>
      </c>
      <c r="H9" s="3">
        <v>1.35</v>
      </c>
      <c r="I9" s="10">
        <v>1.9</v>
      </c>
      <c r="J9" s="3">
        <v>1.35</v>
      </c>
      <c r="K9" s="10">
        <v>2</v>
      </c>
      <c r="L9" s="3">
        <v>1.21</v>
      </c>
      <c r="M9" s="10">
        <v>2.4</v>
      </c>
      <c r="N9" s="3">
        <v>1.31</v>
      </c>
      <c r="O9" s="10">
        <v>2.6</v>
      </c>
      <c r="P9" s="3">
        <v>1.1180000000000001</v>
      </c>
      <c r="Q9" s="10">
        <v>3.2</v>
      </c>
      <c r="R9" s="3">
        <v>0.86199999999999999</v>
      </c>
    </row>
    <row r="10" spans="2:18" x14ac:dyDescent="0.4">
      <c r="B10" s="10">
        <v>1.5</v>
      </c>
      <c r="C10" s="10">
        <v>1.5</v>
      </c>
      <c r="D10" s="3">
        <v>0.70199999999999996</v>
      </c>
      <c r="E10" s="10">
        <v>1.4</v>
      </c>
      <c r="F10" s="3">
        <v>1.22</v>
      </c>
      <c r="G10" s="10">
        <v>1.6</v>
      </c>
      <c r="H10" s="3">
        <v>1.24</v>
      </c>
      <c r="I10" s="10">
        <v>1.8</v>
      </c>
      <c r="J10" s="3">
        <v>1.2490000000000001</v>
      </c>
      <c r="K10" s="10">
        <v>1.9</v>
      </c>
      <c r="L10" s="3">
        <v>1.083</v>
      </c>
      <c r="M10" s="10">
        <v>2.2000000000000002</v>
      </c>
      <c r="N10" s="3">
        <v>1.1120000000000001</v>
      </c>
      <c r="O10" s="26">
        <v>2.52</v>
      </c>
      <c r="P10" s="26">
        <v>0.94499999999999995</v>
      </c>
      <c r="Q10" s="10">
        <v>3.3</v>
      </c>
      <c r="R10" s="3">
        <v>0.81200000000000006</v>
      </c>
    </row>
    <row r="11" spans="2:18" x14ac:dyDescent="0.4">
      <c r="B11" s="10">
        <v>1.6</v>
      </c>
      <c r="C11" s="10">
        <v>1.6</v>
      </c>
      <c r="D11" s="3">
        <v>0.66800000000000004</v>
      </c>
      <c r="E11" s="10">
        <v>1.3</v>
      </c>
      <c r="F11" s="3">
        <v>1.0900000000000001</v>
      </c>
      <c r="G11" s="10">
        <v>1.5</v>
      </c>
      <c r="H11" s="3">
        <v>1.1180000000000001</v>
      </c>
      <c r="I11" s="10">
        <v>1.7</v>
      </c>
      <c r="J11" s="3">
        <v>1.123</v>
      </c>
      <c r="K11" s="26">
        <v>1.84</v>
      </c>
      <c r="L11" s="26">
        <v>0.91400000000000003</v>
      </c>
      <c r="M11" s="26">
        <v>2.125</v>
      </c>
      <c r="N11" s="26">
        <v>0.93</v>
      </c>
      <c r="O11" s="10">
        <v>2.6</v>
      </c>
      <c r="P11" s="3">
        <v>0.81200000000000006</v>
      </c>
      <c r="Q11" s="10">
        <v>3.5</v>
      </c>
      <c r="R11" s="3">
        <v>0.753</v>
      </c>
    </row>
    <row r="12" spans="2:18" x14ac:dyDescent="0.4">
      <c r="B12" s="10">
        <v>1.7</v>
      </c>
      <c r="C12" s="10">
        <v>1.8</v>
      </c>
      <c r="D12" s="3">
        <v>0.61599999999999999</v>
      </c>
      <c r="E12" s="26">
        <v>1.24</v>
      </c>
      <c r="F12" s="26">
        <v>0.95</v>
      </c>
      <c r="G12" s="26">
        <v>1.42</v>
      </c>
      <c r="H12" s="26">
        <v>0.92400000000000004</v>
      </c>
      <c r="I12" s="26">
        <v>1.6120000000000001</v>
      </c>
      <c r="J12" s="26">
        <v>0.92500000000000004</v>
      </c>
      <c r="K12" s="10">
        <v>1.9</v>
      </c>
      <c r="L12" s="3">
        <v>0.78800000000000003</v>
      </c>
      <c r="M12" s="10">
        <v>2.2000000000000002</v>
      </c>
      <c r="N12" s="3">
        <v>0.79600000000000004</v>
      </c>
      <c r="O12" s="10">
        <v>2.7</v>
      </c>
      <c r="P12" s="3">
        <v>0.75800000000000001</v>
      </c>
      <c r="Q12" s="10"/>
      <c r="R12" s="3"/>
    </row>
    <row r="13" spans="2:18" x14ac:dyDescent="0.4">
      <c r="B13" s="10">
        <v>1.8</v>
      </c>
      <c r="C13" s="10">
        <v>2</v>
      </c>
      <c r="D13" s="3">
        <v>0.57799999999999996</v>
      </c>
      <c r="E13" s="10">
        <v>1.3</v>
      </c>
      <c r="F13" s="3">
        <v>0.83299999999999996</v>
      </c>
      <c r="G13" s="10">
        <v>1.5</v>
      </c>
      <c r="H13" s="3">
        <v>0.78500000000000003</v>
      </c>
      <c r="I13" s="10">
        <v>1.7</v>
      </c>
      <c r="J13" s="3">
        <v>0.77</v>
      </c>
      <c r="K13" s="10">
        <v>2</v>
      </c>
      <c r="L13" s="3">
        <v>0.73</v>
      </c>
      <c r="M13" s="10">
        <v>2.4</v>
      </c>
      <c r="N13" s="3">
        <v>0.69799999999999995</v>
      </c>
      <c r="O13" s="10">
        <v>2.9</v>
      </c>
      <c r="P13" s="3">
        <v>0.69599999999999995</v>
      </c>
      <c r="Q13" s="10"/>
      <c r="R13" s="3"/>
    </row>
    <row r="14" spans="2:18" x14ac:dyDescent="0.4">
      <c r="B14" s="10">
        <v>1.9</v>
      </c>
      <c r="C14" s="10">
        <v>2.2000000000000002</v>
      </c>
      <c r="D14" s="3">
        <v>0.54800000000000004</v>
      </c>
      <c r="E14" s="10">
        <v>1.4</v>
      </c>
      <c r="F14" s="3">
        <v>0.76500000000000001</v>
      </c>
      <c r="G14" s="10">
        <v>1.6</v>
      </c>
      <c r="H14" s="3">
        <v>0.72399999999999998</v>
      </c>
      <c r="I14" s="10">
        <v>1.8</v>
      </c>
      <c r="J14" s="3">
        <v>0.71199999999999997</v>
      </c>
      <c r="K14" s="10">
        <v>2.2000000000000002</v>
      </c>
      <c r="L14" s="3">
        <v>0.65600000000000003</v>
      </c>
      <c r="M14" s="10">
        <v>2.6</v>
      </c>
      <c r="N14" s="3">
        <v>0.65</v>
      </c>
      <c r="O14" s="10">
        <v>3.2</v>
      </c>
      <c r="P14" s="3">
        <v>0.64500000000000002</v>
      </c>
      <c r="Q14" s="10"/>
      <c r="R14" s="3"/>
    </row>
    <row r="15" spans="2:18" x14ac:dyDescent="0.4">
      <c r="B15" s="10">
        <v>2</v>
      </c>
      <c r="C15" s="10">
        <v>2.4</v>
      </c>
      <c r="D15" s="3">
        <v>0.52500000000000002</v>
      </c>
      <c r="E15" s="10">
        <v>1.5</v>
      </c>
      <c r="F15" s="3">
        <v>0.72</v>
      </c>
      <c r="G15" s="10">
        <v>1.7</v>
      </c>
      <c r="H15" s="3">
        <v>0.68600000000000005</v>
      </c>
      <c r="I15" s="10">
        <v>2</v>
      </c>
      <c r="J15" s="3">
        <v>0.64400000000000002</v>
      </c>
      <c r="K15" s="10">
        <v>2.5</v>
      </c>
      <c r="L15" s="3">
        <v>0.59599999999999997</v>
      </c>
      <c r="M15" s="10">
        <v>2.9</v>
      </c>
      <c r="N15" s="3">
        <v>0.60499999999999998</v>
      </c>
      <c r="O15" s="10">
        <v>3.5</v>
      </c>
      <c r="P15" s="3">
        <v>0.61199999999999999</v>
      </c>
      <c r="Q15" s="10"/>
      <c r="R15" s="3"/>
    </row>
    <row r="16" spans="2:18" x14ac:dyDescent="0.4">
      <c r="B16" s="10">
        <v>2.1</v>
      </c>
      <c r="C16" s="10">
        <v>2.63</v>
      </c>
      <c r="D16" s="3">
        <v>0.5</v>
      </c>
      <c r="E16" s="10">
        <v>1.6</v>
      </c>
      <c r="F16" s="3">
        <v>0.68300000000000005</v>
      </c>
      <c r="G16" s="10">
        <v>2</v>
      </c>
      <c r="H16" s="3">
        <v>0.60399999999999998</v>
      </c>
      <c r="I16" s="10">
        <v>2.6</v>
      </c>
      <c r="J16" s="3">
        <v>0.54800000000000004</v>
      </c>
      <c r="K16" s="10">
        <v>3</v>
      </c>
      <c r="L16" s="3">
        <v>0.54200000000000004</v>
      </c>
      <c r="M16" s="10">
        <v>3.2</v>
      </c>
      <c r="N16" s="3">
        <v>0.56999999999999995</v>
      </c>
      <c r="O16" s="10"/>
      <c r="P16" s="3"/>
      <c r="Q16" s="10"/>
      <c r="R16" s="3"/>
    </row>
    <row r="17" spans="2:18" x14ac:dyDescent="0.4">
      <c r="B17" s="10">
        <v>2.2000000000000002</v>
      </c>
      <c r="C17" s="10"/>
      <c r="D17" s="3"/>
      <c r="E17" s="10">
        <v>1.7</v>
      </c>
      <c r="F17" s="3">
        <v>0.65200000000000002</v>
      </c>
      <c r="G17" s="10">
        <v>2.5</v>
      </c>
      <c r="H17" s="3">
        <v>0.53500000000000003</v>
      </c>
      <c r="I17" s="10">
        <v>3.1120000000000001</v>
      </c>
      <c r="J17" s="3">
        <v>0.5</v>
      </c>
      <c r="K17" s="10">
        <v>3.5</v>
      </c>
      <c r="L17" s="3">
        <v>0.51200000000000001</v>
      </c>
      <c r="M17" s="10">
        <v>3.5</v>
      </c>
      <c r="N17" s="3">
        <v>0.54900000000000004</v>
      </c>
      <c r="O17" s="10"/>
      <c r="P17" s="3"/>
      <c r="Q17" s="10"/>
      <c r="R17" s="3"/>
    </row>
    <row r="18" spans="2:18" x14ac:dyDescent="0.4">
      <c r="B18" s="10">
        <v>2.2999999999999998</v>
      </c>
      <c r="C18" s="10"/>
      <c r="D18" s="3"/>
      <c r="E18" s="10">
        <v>2</v>
      </c>
      <c r="F18" s="3">
        <v>0.58499999999999996</v>
      </c>
      <c r="G18" s="10">
        <v>2.8250000000000002</v>
      </c>
      <c r="H18" s="3">
        <v>0.5</v>
      </c>
      <c r="I18" s="10"/>
      <c r="J18" s="3"/>
      <c r="K18" s="10"/>
      <c r="L18" s="3"/>
      <c r="M18" s="10"/>
      <c r="N18" s="3"/>
      <c r="O18" s="10"/>
      <c r="P18" s="3"/>
      <c r="Q18" s="10"/>
      <c r="R18" s="3"/>
    </row>
    <row r="19" spans="2:18" x14ac:dyDescent="0.4">
      <c r="B19" s="10">
        <v>2.4</v>
      </c>
      <c r="C19" s="10"/>
      <c r="D19" s="3"/>
      <c r="E19" s="10">
        <v>2.5</v>
      </c>
      <c r="F19" s="3">
        <v>0.52</v>
      </c>
      <c r="G19" s="10"/>
      <c r="H19" s="3"/>
      <c r="I19" s="10"/>
      <c r="J19" s="3"/>
      <c r="K19" s="10"/>
      <c r="L19" s="3"/>
      <c r="M19" s="10"/>
      <c r="N19" s="3"/>
      <c r="O19" s="10"/>
      <c r="P19" s="3"/>
      <c r="Q19" s="10"/>
      <c r="R19" s="3"/>
    </row>
    <row r="20" spans="2:18" x14ac:dyDescent="0.4">
      <c r="B20" s="10">
        <v>2.5</v>
      </c>
      <c r="C20" s="10"/>
      <c r="D20" s="3"/>
      <c r="E20" s="10">
        <v>2.67</v>
      </c>
      <c r="F20" s="3">
        <v>0.5</v>
      </c>
      <c r="G20" s="10"/>
      <c r="H20" s="3"/>
      <c r="I20" s="10"/>
      <c r="J20" s="3"/>
      <c r="K20" s="10"/>
      <c r="L20" s="3"/>
      <c r="M20" s="10"/>
      <c r="N20" s="3"/>
      <c r="O20" s="10"/>
      <c r="P20" s="3"/>
      <c r="Q20" s="10"/>
      <c r="R20" s="3"/>
    </row>
    <row r="21" spans="2:18" x14ac:dyDescent="0.4">
      <c r="B21" s="10">
        <v>2.6</v>
      </c>
      <c r="C21" s="10"/>
      <c r="D21" s="3"/>
      <c r="E21" s="10"/>
      <c r="F21" s="3"/>
      <c r="G21" s="10"/>
      <c r="H21" s="3"/>
      <c r="I21" s="10"/>
      <c r="J21" s="3"/>
      <c r="K21" s="10"/>
      <c r="L21" s="3"/>
      <c r="M21" s="10"/>
      <c r="N21" s="3"/>
      <c r="O21" s="10"/>
      <c r="P21" s="3"/>
      <c r="Q21" s="10"/>
      <c r="R21" s="3"/>
    </row>
    <row r="22" spans="2:18" x14ac:dyDescent="0.4">
      <c r="B22" s="10">
        <v>2.7</v>
      </c>
      <c r="C22" s="10"/>
      <c r="D22" s="3"/>
      <c r="E22" s="10"/>
      <c r="F22" s="3"/>
      <c r="G22" s="10"/>
      <c r="H22" s="3"/>
      <c r="I22" s="10"/>
      <c r="J22" s="3"/>
      <c r="K22" s="10"/>
      <c r="L22" s="3"/>
      <c r="M22" s="10"/>
      <c r="N22" s="3"/>
      <c r="O22" s="10"/>
      <c r="P22" s="3"/>
      <c r="Q22" s="10"/>
      <c r="R22" s="3"/>
    </row>
    <row r="23" spans="2:18" x14ac:dyDescent="0.4">
      <c r="B23" s="10">
        <v>2.8</v>
      </c>
      <c r="C23" s="10"/>
      <c r="D23" s="3"/>
      <c r="E23" s="10"/>
      <c r="F23" s="3"/>
      <c r="G23" s="10"/>
      <c r="H23" s="3"/>
      <c r="I23" s="10"/>
      <c r="J23" s="3"/>
      <c r="K23" s="10"/>
      <c r="L23" s="3"/>
      <c r="M23" s="10"/>
      <c r="N23" s="3"/>
      <c r="O23" s="10"/>
      <c r="P23" s="3"/>
      <c r="Q23" s="10"/>
      <c r="R23" s="3"/>
    </row>
    <row r="24" spans="2:18" x14ac:dyDescent="0.4">
      <c r="B24" s="10">
        <v>2.9</v>
      </c>
      <c r="C24" s="10"/>
      <c r="D24" s="3"/>
      <c r="E24" s="10"/>
      <c r="F24" s="3"/>
      <c r="G24" s="10"/>
      <c r="H24" s="3"/>
      <c r="I24" s="10"/>
      <c r="J24" s="3"/>
      <c r="K24" s="10"/>
      <c r="L24" s="3"/>
      <c r="M24" s="10"/>
      <c r="N24" s="3"/>
      <c r="O24" s="10"/>
      <c r="P24" s="3"/>
      <c r="Q24" s="10"/>
      <c r="R24" s="3"/>
    </row>
    <row r="25" spans="2:18" x14ac:dyDescent="0.4">
      <c r="B25" s="10">
        <v>3</v>
      </c>
      <c r="C25" s="10"/>
      <c r="D25" s="3"/>
      <c r="E25" s="10"/>
      <c r="F25" s="3"/>
      <c r="G25" s="10"/>
      <c r="H25" s="3"/>
      <c r="I25" s="10"/>
      <c r="J25" s="3"/>
      <c r="K25" s="10"/>
      <c r="L25" s="3"/>
      <c r="M25" s="10"/>
      <c r="N25" s="3"/>
      <c r="O25" s="10"/>
      <c r="P25" s="3"/>
      <c r="Q25" s="10"/>
      <c r="R25" s="3"/>
    </row>
    <row r="26" spans="2:18" x14ac:dyDescent="0.4">
      <c r="B26" s="10">
        <v>3.1</v>
      </c>
      <c r="C26" s="10"/>
      <c r="D26" s="3"/>
      <c r="E26" s="10"/>
      <c r="F26" s="3"/>
      <c r="G26" s="10"/>
      <c r="H26" s="3"/>
      <c r="I26" s="10"/>
      <c r="J26" s="3"/>
      <c r="K26" s="10"/>
      <c r="L26" s="3"/>
      <c r="M26" s="10"/>
      <c r="N26" s="3"/>
      <c r="O26" s="10"/>
      <c r="P26" s="3"/>
      <c r="Q26" s="10"/>
      <c r="R26" s="3"/>
    </row>
    <row r="27" spans="2:18" x14ac:dyDescent="0.4">
      <c r="B27" s="10">
        <v>3.2</v>
      </c>
      <c r="C27" s="10"/>
      <c r="D27" s="3"/>
      <c r="E27" s="10"/>
      <c r="F27" s="3"/>
      <c r="G27" s="10"/>
      <c r="H27" s="3"/>
      <c r="I27" s="10"/>
      <c r="J27" s="3"/>
      <c r="K27" s="10"/>
      <c r="L27" s="3"/>
      <c r="M27" s="10"/>
      <c r="N27" s="3"/>
      <c r="O27" s="10"/>
      <c r="P27" s="3"/>
      <c r="Q27" s="10"/>
      <c r="R27" s="3"/>
    </row>
    <row r="28" spans="2:18" x14ac:dyDescent="0.4">
      <c r="B28" s="10">
        <v>3.3</v>
      </c>
      <c r="C28" s="10"/>
      <c r="D28" s="3"/>
      <c r="E28" s="10"/>
      <c r="F28" s="3"/>
      <c r="G28" s="10"/>
      <c r="H28" s="3"/>
      <c r="I28" s="10"/>
      <c r="J28" s="3"/>
      <c r="K28" s="10"/>
      <c r="L28" s="3"/>
      <c r="M28" s="10"/>
      <c r="N28" s="3"/>
      <c r="O28" s="10"/>
      <c r="P28" s="3"/>
      <c r="Q28" s="10"/>
      <c r="R28" s="3"/>
    </row>
    <row r="29" spans="2:18" x14ac:dyDescent="0.4">
      <c r="B29" s="10">
        <v>3.4</v>
      </c>
      <c r="C29" s="10"/>
      <c r="D29" s="3"/>
      <c r="E29" s="10"/>
      <c r="F29" s="3"/>
      <c r="G29" s="10"/>
      <c r="H29" s="3"/>
      <c r="I29" s="10"/>
      <c r="J29" s="3"/>
      <c r="K29" s="10"/>
      <c r="L29" s="3"/>
      <c r="M29" s="10"/>
      <c r="N29" s="3"/>
      <c r="O29" s="10"/>
      <c r="P29" s="3"/>
      <c r="Q29" s="10"/>
      <c r="R29" s="3"/>
    </row>
    <row r="30" spans="2:18" x14ac:dyDescent="0.4">
      <c r="B30" s="10">
        <v>3.5</v>
      </c>
      <c r="C30" s="10"/>
      <c r="D30" s="3"/>
      <c r="E30" s="10"/>
      <c r="F30" s="3"/>
      <c r="G30" s="10"/>
      <c r="H30" s="3"/>
      <c r="I30" s="10"/>
      <c r="J30" s="3"/>
      <c r="K30" s="10"/>
      <c r="L30" s="3"/>
      <c r="M30" s="10"/>
      <c r="N30" s="3"/>
      <c r="O30" s="10"/>
      <c r="P30" s="3"/>
      <c r="Q30" s="10"/>
      <c r="R30" s="3"/>
    </row>
    <row r="31" spans="2:18" x14ac:dyDescent="0.4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2:18" x14ac:dyDescent="0.4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2:18" x14ac:dyDescent="0.4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2:18" x14ac:dyDescent="0.4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2:18" x14ac:dyDescent="0.4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2:18" x14ac:dyDescent="0.4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2:18" x14ac:dyDescent="0.4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2:18" x14ac:dyDescent="0.4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2:18" x14ac:dyDescent="0.4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2:18" x14ac:dyDescent="0.4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2:18" x14ac:dyDescent="0.4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2:18" x14ac:dyDescent="0.4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2:18" x14ac:dyDescent="0.4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2:18" x14ac:dyDescent="0.4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2:18" x14ac:dyDescent="0.4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2:18" x14ac:dyDescent="0.4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2:18" x14ac:dyDescent="0.4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2:18" x14ac:dyDescent="0.4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2:18" x14ac:dyDescent="0.4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2:18" x14ac:dyDescent="0.4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2:18" x14ac:dyDescent="0.4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2:18" x14ac:dyDescent="0.4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2:18" x14ac:dyDescent="0.4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2:18" x14ac:dyDescent="0.4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2:18" x14ac:dyDescent="0.4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</row>
  </sheetData>
  <mergeCells count="10">
    <mergeCell ref="B2:B4"/>
    <mergeCell ref="E3:F3"/>
    <mergeCell ref="C2:R2"/>
    <mergeCell ref="C3:D3"/>
    <mergeCell ref="G3:H3"/>
    <mergeCell ref="I3:J3"/>
    <mergeCell ref="Q3:R3"/>
    <mergeCell ref="O3:P3"/>
    <mergeCell ref="M3:N3"/>
    <mergeCell ref="K3:L3"/>
  </mergeCells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3717F-9878-4CBD-A14E-F6DDC67070AD}">
  <dimension ref="B2:AB62"/>
  <sheetViews>
    <sheetView tabSelected="1" zoomScale="85" zoomScaleNormal="85" workbookViewId="0">
      <selection activeCell="AB2" sqref="AB2"/>
    </sheetView>
  </sheetViews>
  <sheetFormatPr baseColWidth="10" defaultColWidth="11.5546875" defaultRowHeight="15.6" x14ac:dyDescent="0.4"/>
  <cols>
    <col min="1" max="1" width="2.6640625" style="1" customWidth="1"/>
    <col min="2" max="2" width="13.88671875" style="12" customWidth="1"/>
    <col min="3" max="3" width="13.88671875" style="62" customWidth="1"/>
    <col min="4" max="4" width="13.88671875" style="12" customWidth="1"/>
    <col min="5" max="5" width="13.88671875" style="62" customWidth="1"/>
    <col min="6" max="6" width="13.88671875" style="12" customWidth="1"/>
    <col min="7" max="7" width="13.88671875" style="60" customWidth="1"/>
    <col min="8" max="8" width="13.88671875" style="1" customWidth="1"/>
    <col min="9" max="9" width="13.88671875" style="60" customWidth="1"/>
    <col min="10" max="10" width="13.88671875" style="1" customWidth="1"/>
    <col min="11" max="11" width="13.88671875" style="60" customWidth="1"/>
    <col min="12" max="12" width="13.88671875" style="1" customWidth="1"/>
    <col min="13" max="13" width="13.88671875" style="60" customWidth="1"/>
    <col min="14" max="14" width="13.88671875" style="1" customWidth="1"/>
    <col min="15" max="15" width="13.88671875" style="60" customWidth="1"/>
    <col min="16" max="16" width="13.88671875" style="1" customWidth="1"/>
    <col min="17" max="17" width="13.88671875" style="60" customWidth="1"/>
    <col min="18" max="18" width="2.6640625" style="1" customWidth="1"/>
    <col min="19" max="16384" width="11.5546875" style="1"/>
  </cols>
  <sheetData>
    <row r="2" spans="2:28" x14ac:dyDescent="0.4">
      <c r="B2" s="31" t="s">
        <v>17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2:28" x14ac:dyDescent="0.4">
      <c r="B3" s="48">
        <v>0</v>
      </c>
      <c r="C3" s="48"/>
      <c r="D3" s="49">
        <v>5</v>
      </c>
      <c r="E3" s="50"/>
      <c r="F3" s="49">
        <v>10</v>
      </c>
      <c r="G3" s="50"/>
      <c r="H3" s="49">
        <v>15</v>
      </c>
      <c r="I3" s="50"/>
      <c r="J3" s="49">
        <v>20</v>
      </c>
      <c r="K3" s="50"/>
      <c r="L3" s="49">
        <v>25</v>
      </c>
      <c r="M3" s="50"/>
      <c r="N3" s="49">
        <v>30</v>
      </c>
      <c r="O3" s="50"/>
      <c r="P3" s="49">
        <v>35</v>
      </c>
      <c r="Q3" s="50"/>
    </row>
    <row r="4" spans="2:28" x14ac:dyDescent="0.4">
      <c r="B4" s="6" t="s">
        <v>13</v>
      </c>
      <c r="C4" s="58" t="s">
        <v>16</v>
      </c>
      <c r="D4" s="6" t="s">
        <v>13</v>
      </c>
      <c r="E4" s="58" t="s">
        <v>16</v>
      </c>
      <c r="F4" s="6" t="s">
        <v>13</v>
      </c>
      <c r="G4" s="58" t="s">
        <v>16</v>
      </c>
      <c r="H4" s="6" t="s">
        <v>13</v>
      </c>
      <c r="I4" s="58" t="s">
        <v>16</v>
      </c>
      <c r="J4" s="6" t="s">
        <v>13</v>
      </c>
      <c r="K4" s="58" t="s">
        <v>16</v>
      </c>
      <c r="L4" s="6" t="s">
        <v>13</v>
      </c>
      <c r="M4" s="58" t="s">
        <v>16</v>
      </c>
      <c r="N4" s="6" t="s">
        <v>13</v>
      </c>
      <c r="O4" s="58" t="s">
        <v>16</v>
      </c>
      <c r="P4" s="6" t="s">
        <v>13</v>
      </c>
      <c r="Q4" s="58" t="s">
        <v>16</v>
      </c>
    </row>
    <row r="5" spans="2:28" x14ac:dyDescent="0.4">
      <c r="B5" s="9">
        <v>1</v>
      </c>
      <c r="C5" s="5">
        <f>LOG10(((2*1.4*B5^2-1.4+1)/(1.4+1)))</f>
        <v>0</v>
      </c>
      <c r="D5" s="9">
        <v>3.5</v>
      </c>
      <c r="E5" s="5">
        <v>0.186</v>
      </c>
      <c r="F5" s="9"/>
      <c r="G5" s="5"/>
      <c r="H5" s="9"/>
      <c r="I5" s="5"/>
      <c r="J5" s="9"/>
      <c r="K5" s="5"/>
      <c r="L5" s="9"/>
      <c r="M5" s="5"/>
      <c r="N5" s="9"/>
      <c r="O5" s="5"/>
      <c r="P5" s="9"/>
      <c r="Q5" s="5"/>
    </row>
    <row r="6" spans="2:28" x14ac:dyDescent="0.4">
      <c r="B6" s="9">
        <v>1.2</v>
      </c>
      <c r="C6" s="5">
        <f t="shared" ref="C6:E15" si="0">LOG10(((2*1.4*B6^2-1.4+1)/(1.4+1)))</f>
        <v>0.1799345981374415</v>
      </c>
      <c r="D6" s="9">
        <v>3</v>
      </c>
      <c r="E6" s="5">
        <v>0.16200000000000001</v>
      </c>
      <c r="F6" s="9">
        <v>3.5</v>
      </c>
      <c r="G6" s="5">
        <v>0.35549999999999998</v>
      </c>
      <c r="H6" s="9"/>
      <c r="I6" s="5"/>
      <c r="J6" s="9"/>
      <c r="K6" s="5"/>
      <c r="L6" s="9"/>
      <c r="M6" s="5"/>
      <c r="N6" s="9"/>
      <c r="O6" s="5"/>
      <c r="P6" s="9"/>
      <c r="Q6" s="5"/>
    </row>
    <row r="7" spans="2:28" x14ac:dyDescent="0.4">
      <c r="B7" s="9">
        <v>1.4</v>
      </c>
      <c r="C7" s="5">
        <f t="shared" si="0"/>
        <v>0.32633586092875139</v>
      </c>
      <c r="D7" s="9">
        <v>2.5</v>
      </c>
      <c r="E7" s="5">
        <v>0.1394</v>
      </c>
      <c r="F7" s="9">
        <v>3</v>
      </c>
      <c r="G7" s="5">
        <v>0.31340000000000001</v>
      </c>
      <c r="H7" s="9">
        <v>3.5</v>
      </c>
      <c r="I7" s="5">
        <v>0.51</v>
      </c>
      <c r="J7" s="9"/>
      <c r="K7" s="5"/>
      <c r="L7" s="9"/>
      <c r="M7" s="5"/>
      <c r="N7" s="9"/>
      <c r="O7" s="5"/>
      <c r="P7" s="9"/>
      <c r="Q7" s="5"/>
    </row>
    <row r="8" spans="2:28" x14ac:dyDescent="0.4">
      <c r="B8" s="9">
        <v>1.6</v>
      </c>
      <c r="C8" s="5">
        <f t="shared" si="0"/>
        <v>0.45024910831936116</v>
      </c>
      <c r="D8" s="9">
        <v>2</v>
      </c>
      <c r="E8" s="5">
        <v>0.1186</v>
      </c>
      <c r="F8" s="9">
        <v>2.5</v>
      </c>
      <c r="G8" s="5">
        <v>0.27060000000000001</v>
      </c>
      <c r="H8" s="9">
        <v>3</v>
      </c>
      <c r="I8" s="5">
        <v>0.45</v>
      </c>
      <c r="J8" s="9">
        <v>3.5</v>
      </c>
      <c r="K8" s="5">
        <v>0.64800000000000002</v>
      </c>
      <c r="L8" s="9"/>
      <c r="M8" s="5"/>
      <c r="N8" s="9"/>
      <c r="O8" s="5"/>
      <c r="P8" s="9"/>
      <c r="Q8" s="5"/>
      <c r="AB8"/>
    </row>
    <row r="9" spans="2:28" x14ac:dyDescent="0.4">
      <c r="B9" s="9">
        <v>1.8</v>
      </c>
      <c r="C9" s="5">
        <f t="shared" si="0"/>
        <v>0.55790802748270563</v>
      </c>
      <c r="D9" s="9">
        <v>1.5</v>
      </c>
      <c r="E9" s="5">
        <v>0.106</v>
      </c>
      <c r="F9" s="9">
        <v>2</v>
      </c>
      <c r="G9" s="5">
        <v>0.23300000000000001</v>
      </c>
      <c r="H9" s="9">
        <v>2.5</v>
      </c>
      <c r="I9" s="5">
        <v>0.39200000000000002</v>
      </c>
      <c r="J9" s="9">
        <v>3</v>
      </c>
      <c r="K9" s="5">
        <v>0.57699999999999996</v>
      </c>
      <c r="L9" s="9"/>
      <c r="M9" s="5"/>
      <c r="N9" s="9"/>
      <c r="O9" s="5"/>
      <c r="P9" s="9"/>
      <c r="Q9" s="5"/>
    </row>
    <row r="10" spans="2:28" x14ac:dyDescent="0.4">
      <c r="B10" s="9">
        <v>2</v>
      </c>
      <c r="C10" s="5">
        <f t="shared" si="0"/>
        <v>0.65321251377534373</v>
      </c>
      <c r="D10" s="9">
        <v>1.3</v>
      </c>
      <c r="E10" s="5">
        <v>0.1162</v>
      </c>
      <c r="F10" s="9">
        <v>1.8</v>
      </c>
      <c r="G10" s="5">
        <v>0.221</v>
      </c>
      <c r="H10" s="9">
        <v>2</v>
      </c>
      <c r="I10" s="5">
        <v>0.34200000000000003</v>
      </c>
      <c r="J10" s="9">
        <v>2.5</v>
      </c>
      <c r="K10" s="5">
        <v>0.50600000000000001</v>
      </c>
      <c r="L10" s="9"/>
      <c r="M10" s="5"/>
      <c r="N10" s="9"/>
      <c r="O10" s="5"/>
      <c r="P10" s="9"/>
      <c r="Q10" s="5"/>
    </row>
    <row r="11" spans="2:28" x14ac:dyDescent="0.4">
      <c r="B11" s="9">
        <v>2.2000000000000002</v>
      </c>
      <c r="C11" s="5">
        <f t="shared" si="0"/>
        <v>0.73878055848436919</v>
      </c>
      <c r="D11" s="54">
        <v>1.24</v>
      </c>
      <c r="E11" s="18">
        <v>0.155</v>
      </c>
      <c r="F11" s="9">
        <v>1.6</v>
      </c>
      <c r="G11" s="5">
        <v>0.21640000000000001</v>
      </c>
      <c r="H11" s="9">
        <v>1.8</v>
      </c>
      <c r="I11" s="5">
        <v>0.33100000000000002</v>
      </c>
      <c r="J11" s="9">
        <v>2.25</v>
      </c>
      <c r="K11" s="5">
        <v>0.47499999999999998</v>
      </c>
      <c r="L11" s="9"/>
      <c r="M11" s="5"/>
      <c r="N11" s="9"/>
      <c r="O11" s="5"/>
      <c r="P11" s="9"/>
      <c r="Q11" s="5"/>
    </row>
    <row r="12" spans="2:28" ht="16.2" thickBot="1" x14ac:dyDescent="0.45">
      <c r="B12" s="9">
        <v>2.4</v>
      </c>
      <c r="C12" s="5">
        <f t="shared" si="0"/>
        <v>0.8164622587764544</v>
      </c>
      <c r="D12" s="52">
        <v>1.3</v>
      </c>
      <c r="E12" s="17">
        <v>0.24</v>
      </c>
      <c r="F12" s="9">
        <v>1.5</v>
      </c>
      <c r="G12" s="57">
        <v>0.222</v>
      </c>
      <c r="H12" s="9">
        <v>1.7</v>
      </c>
      <c r="I12" s="5">
        <v>0.33260000000000001</v>
      </c>
      <c r="J12" s="9">
        <v>2</v>
      </c>
      <c r="K12" s="5">
        <v>0.45400000000000001</v>
      </c>
      <c r="L12" s="9">
        <v>3.5</v>
      </c>
      <c r="M12" s="5">
        <v>0.77200000000000002</v>
      </c>
      <c r="N12" s="9"/>
      <c r="O12" s="5"/>
      <c r="P12" s="9"/>
      <c r="Q12" s="5"/>
    </row>
    <row r="13" spans="2:28" x14ac:dyDescent="0.4">
      <c r="B13" s="9">
        <v>2.6</v>
      </c>
      <c r="C13" s="5">
        <f t="shared" si="0"/>
        <v>0.88761730033573627</v>
      </c>
      <c r="D13" s="9">
        <v>1.6040000000000001</v>
      </c>
      <c r="E13" s="5">
        <v>0.45024910831936116</v>
      </c>
      <c r="F13" s="54">
        <v>1.423</v>
      </c>
      <c r="G13" s="18">
        <v>0.26500000000000001</v>
      </c>
      <c r="H13" s="54">
        <v>1.6140000000000001</v>
      </c>
      <c r="I13" s="18">
        <v>0.375</v>
      </c>
      <c r="J13" s="9">
        <v>1.9</v>
      </c>
      <c r="K13" s="5">
        <v>0.45600000000000002</v>
      </c>
      <c r="L13" s="9">
        <v>3</v>
      </c>
      <c r="M13" s="5">
        <v>0.69299999999999995</v>
      </c>
      <c r="N13" s="9"/>
      <c r="O13" s="5"/>
      <c r="P13" s="9"/>
      <c r="Q13" s="5"/>
    </row>
    <row r="14" spans="2:28" x14ac:dyDescent="0.4">
      <c r="B14" s="9">
        <v>2.8</v>
      </c>
      <c r="C14" s="5">
        <f t="shared" si="0"/>
        <v>0.95327633666730427</v>
      </c>
      <c r="D14" s="9">
        <v>1.804</v>
      </c>
      <c r="E14" s="5">
        <v>0.55790802748270563</v>
      </c>
      <c r="F14" s="55">
        <v>1.6</v>
      </c>
      <c r="G14" s="56">
        <v>0.434</v>
      </c>
      <c r="H14" s="9">
        <v>1.7</v>
      </c>
      <c r="I14" s="5">
        <v>0.47</v>
      </c>
      <c r="J14" s="54">
        <v>1.837</v>
      </c>
      <c r="K14" s="18">
        <v>0.48799999999999999</v>
      </c>
      <c r="L14" s="9">
        <v>2.7</v>
      </c>
      <c r="M14" s="5">
        <v>0.64800000000000002</v>
      </c>
      <c r="N14" s="9">
        <v>3.5</v>
      </c>
      <c r="O14" s="5">
        <v>0.88500000000000001</v>
      </c>
      <c r="P14" s="9"/>
      <c r="Q14" s="5"/>
    </row>
    <row r="15" spans="2:28" ht="16.2" thickBot="1" x14ac:dyDescent="0.45">
      <c r="B15" s="9">
        <v>3</v>
      </c>
      <c r="C15" s="5">
        <f t="shared" si="0"/>
        <v>1.0142404391146103</v>
      </c>
      <c r="D15" s="9">
        <v>2.004</v>
      </c>
      <c r="E15" s="5">
        <v>0.65321251377534373</v>
      </c>
      <c r="F15" s="52">
        <v>1.8</v>
      </c>
      <c r="G15" s="17">
        <v>0.55000000000000004</v>
      </c>
      <c r="H15" s="9">
        <v>1.8</v>
      </c>
      <c r="I15" s="5">
        <v>0.53500000000000003</v>
      </c>
      <c r="J15" s="9">
        <v>1.9</v>
      </c>
      <c r="K15" s="5">
        <v>0.55700000000000005</v>
      </c>
      <c r="L15" s="9">
        <v>2.35</v>
      </c>
      <c r="M15" s="5">
        <v>0.6</v>
      </c>
      <c r="N15" s="9">
        <v>3</v>
      </c>
      <c r="O15" s="5">
        <v>0.80300000000000005</v>
      </c>
      <c r="P15" s="9"/>
      <c r="Q15" s="5"/>
    </row>
    <row r="16" spans="2:28" x14ac:dyDescent="0.4">
      <c r="B16" s="9"/>
      <c r="C16" s="5"/>
      <c r="D16" s="9">
        <v>2.2040000000000002</v>
      </c>
      <c r="E16" s="5">
        <v>0.73878055848436919</v>
      </c>
      <c r="F16" s="51">
        <v>2.0070000000000001</v>
      </c>
      <c r="G16" s="16">
        <v>0.65321251377534373</v>
      </c>
      <c r="H16" s="51">
        <v>2</v>
      </c>
      <c r="I16" s="16">
        <v>0.64</v>
      </c>
      <c r="J16" s="9">
        <v>2</v>
      </c>
      <c r="K16" s="5">
        <v>0.62</v>
      </c>
      <c r="L16" s="9">
        <v>2.15</v>
      </c>
      <c r="M16" s="5">
        <v>0.59499999999999997</v>
      </c>
      <c r="N16" s="9">
        <v>2.8</v>
      </c>
      <c r="O16" s="5">
        <v>0.77400000000000002</v>
      </c>
      <c r="P16" s="9"/>
      <c r="Q16" s="5"/>
    </row>
    <row r="17" spans="2:28" ht="16.2" thickBot="1" x14ac:dyDescent="0.45">
      <c r="B17" s="9"/>
      <c r="C17" s="5"/>
      <c r="D17" s="9">
        <v>2.4039999999999999</v>
      </c>
      <c r="E17" s="5">
        <v>0.8164622587764544</v>
      </c>
      <c r="F17" s="9">
        <v>2.2069999999999999</v>
      </c>
      <c r="G17" s="5">
        <v>0.73878055848436919</v>
      </c>
      <c r="H17" s="52">
        <v>2.2000000000000002</v>
      </c>
      <c r="I17" s="17">
        <v>0.73099999999999998</v>
      </c>
      <c r="J17" s="9">
        <v>2.25</v>
      </c>
      <c r="K17" s="5">
        <v>0.74</v>
      </c>
      <c r="L17" s="54">
        <v>2.1219999999999999</v>
      </c>
      <c r="M17" s="18">
        <v>0.62</v>
      </c>
      <c r="N17" s="9">
        <v>2.6</v>
      </c>
      <c r="O17" s="5">
        <v>0.753</v>
      </c>
      <c r="P17" s="9">
        <v>3.5</v>
      </c>
      <c r="Q17" s="5">
        <v>0.998</v>
      </c>
    </row>
    <row r="18" spans="2:28" ht="16.2" thickBot="1" x14ac:dyDescent="0.45">
      <c r="B18" s="9"/>
      <c r="C18" s="5"/>
      <c r="D18" s="9">
        <v>2.6040000000000001</v>
      </c>
      <c r="E18" s="5">
        <v>0.88761730033573627</v>
      </c>
      <c r="F18" s="9">
        <v>2.407</v>
      </c>
      <c r="G18" s="5">
        <v>0.8164622587764544</v>
      </c>
      <c r="H18" s="51">
        <v>2.4159999999999999</v>
      </c>
      <c r="I18" s="16">
        <v>0.8164622587764544</v>
      </c>
      <c r="J18" s="52">
        <v>2.4</v>
      </c>
      <c r="K18" s="17">
        <v>0.80400000000000005</v>
      </c>
      <c r="L18" s="9">
        <v>2.2000000000000002</v>
      </c>
      <c r="M18" s="5">
        <v>0.68799999999999994</v>
      </c>
      <c r="N18" s="54">
        <v>2.5179999999999998</v>
      </c>
      <c r="O18" s="18">
        <v>0.77200000000000002</v>
      </c>
      <c r="P18" s="9">
        <v>3.35</v>
      </c>
      <c r="Q18" s="5">
        <v>0.97599999999999998</v>
      </c>
    </row>
    <row r="19" spans="2:28" x14ac:dyDescent="0.4">
      <c r="B19" s="53"/>
      <c r="C19" s="13"/>
      <c r="D19" s="9">
        <v>2.8039999999999998</v>
      </c>
      <c r="E19" s="5">
        <v>0.95327633666730427</v>
      </c>
      <c r="F19" s="9">
        <v>2.6070000000000002</v>
      </c>
      <c r="G19" s="5">
        <v>0.88761730033573627</v>
      </c>
      <c r="H19" s="9">
        <v>2.6160000000000001</v>
      </c>
      <c r="I19" s="5">
        <v>0.88761730033573627</v>
      </c>
      <c r="J19" s="51">
        <v>2.63</v>
      </c>
      <c r="K19" s="16">
        <v>0.88761730033573627</v>
      </c>
      <c r="L19" s="9">
        <v>2.4</v>
      </c>
      <c r="M19" s="5">
        <v>0.78700000000000003</v>
      </c>
      <c r="N19" s="9">
        <v>2.6</v>
      </c>
      <c r="O19" s="5">
        <v>0.83550000000000002</v>
      </c>
      <c r="P19" s="9">
        <v>3.19</v>
      </c>
      <c r="Q19" s="5">
        <v>0.96150000000000002</v>
      </c>
    </row>
    <row r="20" spans="2:28" x14ac:dyDescent="0.4">
      <c r="B20" s="53"/>
      <c r="C20" s="13"/>
      <c r="D20" s="9">
        <v>3.004</v>
      </c>
      <c r="E20" s="5">
        <v>1.0142404391146103</v>
      </c>
      <c r="F20" s="9">
        <v>2.8069999999999999</v>
      </c>
      <c r="G20" s="5">
        <v>0.95327633666730427</v>
      </c>
      <c r="H20" s="51">
        <v>2.8159999999999998</v>
      </c>
      <c r="I20" s="5">
        <v>0.95327633666730427</v>
      </c>
      <c r="J20" s="51">
        <v>2.83</v>
      </c>
      <c r="K20" s="5">
        <v>0.95327633666730427</v>
      </c>
      <c r="L20" s="9">
        <v>2.6</v>
      </c>
      <c r="M20" s="5">
        <v>0.86599999999999999</v>
      </c>
      <c r="N20" s="9">
        <v>2.75</v>
      </c>
      <c r="O20" s="5">
        <v>0.89800000000000002</v>
      </c>
      <c r="P20" s="54">
        <v>3.14</v>
      </c>
      <c r="Q20" s="18">
        <v>0.97</v>
      </c>
    </row>
    <row r="21" spans="2:28" x14ac:dyDescent="0.4">
      <c r="B21" s="53"/>
      <c r="C21" s="13"/>
      <c r="D21" s="9"/>
      <c r="E21" s="5"/>
      <c r="F21" s="9">
        <v>3.0070000000000001</v>
      </c>
      <c r="G21" s="5">
        <v>1.0142404391146103</v>
      </c>
      <c r="H21" s="9">
        <v>3.016</v>
      </c>
      <c r="I21" s="5">
        <v>1.0142404391146103</v>
      </c>
      <c r="J21" s="9">
        <v>3.03</v>
      </c>
      <c r="K21" s="5">
        <v>1.0142404391146103</v>
      </c>
      <c r="L21" s="9">
        <v>3</v>
      </c>
      <c r="M21" s="5">
        <v>1</v>
      </c>
      <c r="N21" s="9">
        <v>3.05</v>
      </c>
      <c r="O21" s="5">
        <v>1</v>
      </c>
      <c r="P21" s="9">
        <v>3.18</v>
      </c>
      <c r="Q21" s="5">
        <v>1</v>
      </c>
    </row>
    <row r="22" spans="2:28" x14ac:dyDescent="0.4">
      <c r="B22"/>
      <c r="C22" s="59"/>
      <c r="D22"/>
      <c r="E22" s="59"/>
      <c r="F22"/>
      <c r="G22" s="59"/>
      <c r="H22"/>
      <c r="I22" s="59"/>
      <c r="J22"/>
      <c r="K22" s="59"/>
      <c r="L22"/>
      <c r="M22" s="59"/>
      <c r="N22"/>
      <c r="O22" s="59"/>
      <c r="P22"/>
      <c r="Q22" s="59"/>
    </row>
    <row r="23" spans="2:28" x14ac:dyDescent="0.4">
      <c r="B23"/>
      <c r="C23" s="59"/>
      <c r="D23"/>
      <c r="E23" s="59"/>
      <c r="F23"/>
      <c r="G23" s="59"/>
      <c r="H23"/>
      <c r="I23" s="59"/>
      <c r="J23"/>
      <c r="K23" s="59"/>
      <c r="L23"/>
      <c r="M23" s="59"/>
      <c r="N23"/>
      <c r="O23" s="59"/>
      <c r="P23"/>
      <c r="Q23" s="59"/>
    </row>
    <row r="24" spans="2:28" x14ac:dyDescent="0.4">
      <c r="B24"/>
      <c r="C24" s="59"/>
      <c r="D24"/>
      <c r="E24" s="59"/>
      <c r="F24"/>
      <c r="G24" s="59"/>
      <c r="H24"/>
      <c r="I24" s="59"/>
      <c r="J24"/>
      <c r="K24" s="59"/>
      <c r="L24"/>
      <c r="M24" s="59"/>
      <c r="N24"/>
      <c r="O24" s="59"/>
      <c r="P24"/>
      <c r="Q24" s="59"/>
    </row>
    <row r="25" spans="2:28" x14ac:dyDescent="0.4">
      <c r="B25"/>
      <c r="C25" s="59"/>
      <c r="D25"/>
      <c r="E25" s="59"/>
      <c r="F25"/>
      <c r="G25" s="59"/>
      <c r="H25"/>
      <c r="I25" s="59"/>
      <c r="J25"/>
      <c r="K25" s="59"/>
      <c r="L25"/>
      <c r="M25" s="59"/>
      <c r="N25"/>
      <c r="O25" s="59"/>
      <c r="P25"/>
      <c r="Q25" s="59"/>
    </row>
    <row r="26" spans="2:28" x14ac:dyDescent="0.4">
      <c r="B26"/>
      <c r="C26" s="59"/>
      <c r="D26"/>
      <c r="E26" s="59"/>
      <c r="F26"/>
      <c r="G26" s="59"/>
      <c r="H26"/>
      <c r="I26" s="59"/>
      <c r="J26"/>
      <c r="K26" s="59"/>
      <c r="L26"/>
      <c r="M26" s="59"/>
      <c r="N26"/>
      <c r="O26" s="59"/>
      <c r="P26"/>
      <c r="Q26" s="59"/>
    </row>
    <row r="27" spans="2:28" x14ac:dyDescent="0.4">
      <c r="B27"/>
      <c r="C27" s="59"/>
      <c r="D27"/>
      <c r="E27" s="59"/>
      <c r="F27"/>
      <c r="G27" s="59"/>
      <c r="H27"/>
      <c r="I27" s="59"/>
      <c r="J27"/>
      <c r="K27" s="59"/>
      <c r="L27"/>
      <c r="M27" s="59"/>
      <c r="N27"/>
      <c r="O27" s="59"/>
      <c r="P27"/>
      <c r="Q27" s="59"/>
    </row>
    <row r="28" spans="2:28" x14ac:dyDescent="0.4">
      <c r="B28"/>
      <c r="C28" s="59"/>
      <c r="D28"/>
      <c r="E28" s="59"/>
      <c r="F28"/>
      <c r="G28" s="59"/>
      <c r="H28"/>
      <c r="I28" s="59"/>
      <c r="J28"/>
      <c r="K28" s="59"/>
      <c r="L28"/>
      <c r="M28" s="59"/>
      <c r="N28"/>
      <c r="O28" s="59"/>
      <c r="P28"/>
      <c r="Q28" s="59"/>
    </row>
    <row r="29" spans="2:28" x14ac:dyDescent="0.4">
      <c r="B29"/>
      <c r="C29" s="59"/>
      <c r="D29"/>
      <c r="E29" s="59"/>
      <c r="F29"/>
      <c r="G29" s="59"/>
      <c r="H29"/>
      <c r="I29" s="59"/>
      <c r="J29"/>
      <c r="K29" s="59"/>
      <c r="L29"/>
      <c r="M29" s="59"/>
      <c r="N29"/>
      <c r="O29" s="59"/>
      <c r="P29"/>
      <c r="Q29" s="59"/>
      <c r="AB29"/>
    </row>
    <row r="30" spans="2:28" x14ac:dyDescent="0.4">
      <c r="B30"/>
      <c r="C30" s="59"/>
      <c r="D30"/>
      <c r="E30" s="59"/>
      <c r="F30"/>
      <c r="G30" s="59"/>
      <c r="H30"/>
      <c r="I30" s="59"/>
      <c r="J30"/>
      <c r="K30" s="59"/>
      <c r="L30"/>
      <c r="M30" s="59"/>
      <c r="N30"/>
      <c r="O30" s="59"/>
      <c r="P30"/>
      <c r="Q30" s="59"/>
    </row>
    <row r="31" spans="2:28" x14ac:dyDescent="0.4">
      <c r="B31"/>
      <c r="C31" s="59"/>
      <c r="D31"/>
      <c r="E31" s="59"/>
      <c r="F31"/>
      <c r="G31" s="59"/>
      <c r="H31"/>
      <c r="I31" s="59"/>
      <c r="J31"/>
      <c r="K31" s="59"/>
      <c r="L31"/>
      <c r="M31" s="59"/>
      <c r="N31"/>
      <c r="O31" s="59"/>
      <c r="P31"/>
      <c r="Q31" s="59"/>
    </row>
    <row r="32" spans="2:28" x14ac:dyDescent="0.4">
      <c r="B32"/>
      <c r="C32" s="59"/>
      <c r="D32"/>
      <c r="E32" s="59"/>
      <c r="F32"/>
      <c r="G32" s="59"/>
      <c r="H32"/>
      <c r="I32" s="59"/>
      <c r="J32"/>
      <c r="K32" s="59"/>
      <c r="L32"/>
      <c r="M32" s="59"/>
      <c r="N32"/>
      <c r="O32" s="59"/>
      <c r="P32"/>
      <c r="Q32" s="59"/>
    </row>
    <row r="33" spans="2:17" x14ac:dyDescent="0.4">
      <c r="B33"/>
      <c r="C33" s="59"/>
      <c r="D33"/>
      <c r="E33" s="59"/>
      <c r="F33"/>
      <c r="G33" s="59"/>
      <c r="H33"/>
      <c r="I33" s="59"/>
      <c r="J33"/>
      <c r="K33" s="59"/>
      <c r="L33"/>
      <c r="M33" s="59"/>
      <c r="N33"/>
      <c r="O33" s="59"/>
      <c r="P33"/>
      <c r="Q33" s="59"/>
    </row>
    <row r="34" spans="2:17" x14ac:dyDescent="0.4">
      <c r="B34"/>
      <c r="C34" s="59"/>
      <c r="D34"/>
      <c r="E34" s="59"/>
      <c r="F34"/>
      <c r="G34" s="59"/>
      <c r="H34"/>
      <c r="I34" s="59"/>
      <c r="J34"/>
      <c r="K34" s="59"/>
      <c r="L34"/>
      <c r="M34" s="59"/>
      <c r="N34"/>
      <c r="O34" s="59"/>
      <c r="P34"/>
      <c r="Q34" s="59"/>
    </row>
    <row r="35" spans="2:17" x14ac:dyDescent="0.4">
      <c r="B35"/>
      <c r="C35" s="59"/>
      <c r="D35"/>
      <c r="E35" s="59"/>
      <c r="F35"/>
      <c r="G35" s="59"/>
      <c r="H35"/>
      <c r="I35" s="59"/>
      <c r="J35"/>
      <c r="K35" s="59"/>
      <c r="L35"/>
      <c r="M35" s="59"/>
      <c r="N35"/>
      <c r="O35" s="59"/>
      <c r="P35"/>
      <c r="Q35" s="59"/>
    </row>
    <row r="36" spans="2:17" x14ac:dyDescent="0.4">
      <c r="B36"/>
      <c r="C36" s="59"/>
      <c r="D36"/>
      <c r="E36" s="59"/>
      <c r="F36"/>
      <c r="G36" s="59"/>
      <c r="H36"/>
      <c r="I36" s="59"/>
      <c r="J36"/>
      <c r="K36" s="59"/>
      <c r="L36"/>
      <c r="M36" s="59"/>
      <c r="N36"/>
      <c r="O36" s="59"/>
      <c r="P36"/>
      <c r="Q36" s="59"/>
    </row>
    <row r="37" spans="2:17" x14ac:dyDescent="0.4">
      <c r="B37"/>
      <c r="C37" s="59"/>
      <c r="D37"/>
      <c r="E37" s="59"/>
      <c r="F37"/>
      <c r="G37" s="59"/>
      <c r="H37"/>
      <c r="I37" s="59"/>
      <c r="J37"/>
      <c r="K37" s="59"/>
      <c r="L37"/>
      <c r="M37" s="59"/>
      <c r="N37"/>
      <c r="O37" s="59"/>
      <c r="P37"/>
      <c r="Q37" s="59"/>
    </row>
    <row r="38" spans="2:17" x14ac:dyDescent="0.4">
      <c r="B38"/>
      <c r="C38" s="59"/>
      <c r="D38"/>
      <c r="E38" s="59"/>
      <c r="F38"/>
      <c r="G38" s="59"/>
      <c r="H38"/>
      <c r="I38" s="59"/>
      <c r="J38"/>
      <c r="K38" s="59"/>
      <c r="L38"/>
      <c r="M38" s="59"/>
      <c r="N38"/>
      <c r="O38" s="59"/>
      <c r="P38"/>
      <c r="Q38" s="59"/>
    </row>
    <row r="39" spans="2:17" x14ac:dyDescent="0.4">
      <c r="B39"/>
      <c r="C39" s="59"/>
      <c r="D39"/>
      <c r="E39" s="59"/>
      <c r="F39"/>
      <c r="G39" s="59"/>
      <c r="H39"/>
      <c r="I39" s="59"/>
      <c r="J39"/>
      <c r="K39" s="59"/>
      <c r="L39"/>
      <c r="M39" s="59"/>
      <c r="N39"/>
      <c r="O39" s="59"/>
      <c r="P39"/>
      <c r="Q39" s="59"/>
    </row>
    <row r="40" spans="2:17" x14ac:dyDescent="0.4">
      <c r="B40"/>
      <c r="C40" s="59"/>
      <c r="D40"/>
      <c r="E40" s="59"/>
      <c r="F40"/>
      <c r="G40" s="59"/>
      <c r="H40"/>
      <c r="I40" s="59"/>
      <c r="J40"/>
      <c r="K40" s="59"/>
      <c r="L40"/>
      <c r="M40" s="59"/>
      <c r="N40"/>
      <c r="O40" s="59"/>
      <c r="P40"/>
      <c r="Q40" s="59"/>
    </row>
    <row r="41" spans="2:17" x14ac:dyDescent="0.4">
      <c r="B41"/>
      <c r="C41" s="59"/>
      <c r="D41"/>
      <c r="E41" s="59"/>
      <c r="F41"/>
      <c r="G41" s="59"/>
      <c r="H41"/>
      <c r="I41" s="59"/>
      <c r="J41"/>
      <c r="K41" s="59"/>
      <c r="L41"/>
      <c r="M41" s="59"/>
      <c r="N41"/>
      <c r="O41" s="59"/>
      <c r="P41"/>
      <c r="Q41" s="59"/>
    </row>
    <row r="42" spans="2:17" x14ac:dyDescent="0.4">
      <c r="B42"/>
      <c r="C42" s="59"/>
      <c r="D42"/>
      <c r="E42" s="59"/>
      <c r="F42"/>
      <c r="G42" s="59"/>
      <c r="H42"/>
      <c r="I42" s="59"/>
      <c r="J42"/>
      <c r="K42" s="59"/>
      <c r="L42"/>
      <c r="M42" s="59"/>
      <c r="N42"/>
      <c r="O42" s="59"/>
      <c r="P42"/>
      <c r="Q42" s="59"/>
    </row>
    <row r="43" spans="2:17" x14ac:dyDescent="0.4">
      <c r="B43"/>
      <c r="C43" s="59"/>
      <c r="D43"/>
      <c r="E43" s="59"/>
      <c r="F43"/>
      <c r="G43" s="59"/>
      <c r="H43"/>
      <c r="I43" s="59"/>
      <c r="J43"/>
      <c r="K43" s="59"/>
      <c r="L43"/>
      <c r="M43" s="59"/>
      <c r="N43"/>
      <c r="O43" s="59"/>
      <c r="P43"/>
      <c r="Q43" s="59"/>
    </row>
    <row r="44" spans="2:17" x14ac:dyDescent="0.4">
      <c r="B44"/>
      <c r="C44" s="59"/>
      <c r="D44"/>
      <c r="E44" s="59"/>
      <c r="F44"/>
      <c r="G44" s="59"/>
      <c r="H44"/>
      <c r="I44" s="59"/>
      <c r="J44"/>
      <c r="K44" s="59"/>
      <c r="L44"/>
      <c r="M44" s="59"/>
      <c r="N44"/>
      <c r="O44" s="59"/>
      <c r="P44"/>
      <c r="Q44" s="59"/>
    </row>
    <row r="45" spans="2:17" x14ac:dyDescent="0.4">
      <c r="B45"/>
      <c r="C45" s="59"/>
      <c r="D45"/>
      <c r="E45" s="59"/>
      <c r="F45"/>
      <c r="G45" s="59"/>
      <c r="H45"/>
      <c r="I45" s="59"/>
      <c r="J45"/>
      <c r="K45" s="59"/>
      <c r="L45"/>
      <c r="M45" s="59"/>
      <c r="N45"/>
      <c r="O45" s="59"/>
      <c r="P45"/>
      <c r="Q45" s="59"/>
    </row>
    <row r="46" spans="2:17" x14ac:dyDescent="0.4">
      <c r="B46"/>
      <c r="C46" s="59"/>
      <c r="D46"/>
      <c r="E46" s="59"/>
      <c r="F46"/>
      <c r="G46" s="59"/>
      <c r="H46"/>
      <c r="I46" s="59"/>
      <c r="J46"/>
      <c r="K46" s="59"/>
      <c r="L46"/>
      <c r="M46" s="59"/>
      <c r="N46"/>
      <c r="O46" s="59"/>
      <c r="P46"/>
      <c r="Q46" s="59"/>
    </row>
    <row r="47" spans="2:17" x14ac:dyDescent="0.4">
      <c r="B47"/>
      <c r="C47" s="59"/>
      <c r="D47"/>
      <c r="E47" s="59"/>
      <c r="F47"/>
      <c r="G47" s="59"/>
      <c r="H47"/>
      <c r="I47" s="59"/>
      <c r="J47"/>
      <c r="K47" s="59"/>
      <c r="L47"/>
      <c r="M47" s="59"/>
      <c r="N47"/>
      <c r="O47" s="59"/>
      <c r="P47"/>
      <c r="Q47" s="59"/>
    </row>
    <row r="48" spans="2:17" x14ac:dyDescent="0.4">
      <c r="B48"/>
      <c r="C48" s="59"/>
      <c r="D48"/>
      <c r="E48" s="59"/>
      <c r="F48"/>
      <c r="G48" s="59"/>
      <c r="H48"/>
      <c r="I48" s="59"/>
      <c r="J48"/>
      <c r="K48" s="59"/>
      <c r="L48"/>
      <c r="M48" s="59"/>
      <c r="N48"/>
      <c r="O48" s="59"/>
      <c r="P48"/>
      <c r="Q48" s="59"/>
    </row>
    <row r="49" spans="2:17" x14ac:dyDescent="0.4">
      <c r="B49"/>
      <c r="C49" s="59"/>
      <c r="D49"/>
      <c r="E49" s="59"/>
      <c r="F49"/>
      <c r="G49" s="59"/>
      <c r="H49"/>
      <c r="I49" s="59"/>
      <c r="J49"/>
      <c r="K49" s="59"/>
      <c r="L49"/>
      <c r="M49" s="59"/>
      <c r="N49"/>
      <c r="O49" s="59"/>
      <c r="P49"/>
      <c r="Q49" s="59"/>
    </row>
    <row r="50" spans="2:17" x14ac:dyDescent="0.4">
      <c r="B50"/>
      <c r="C50" s="59"/>
      <c r="D50"/>
      <c r="E50" s="59"/>
      <c r="F50"/>
      <c r="G50" s="59"/>
      <c r="H50"/>
      <c r="I50" s="59"/>
      <c r="J50"/>
      <c r="K50" s="59"/>
      <c r="L50"/>
      <c r="M50" s="59"/>
      <c r="N50"/>
      <c r="O50" s="59"/>
      <c r="P50"/>
      <c r="Q50" s="59"/>
    </row>
    <row r="51" spans="2:17" x14ac:dyDescent="0.4">
      <c r="B51"/>
      <c r="C51" s="59"/>
      <c r="D51"/>
      <c r="E51" s="59"/>
      <c r="F51"/>
      <c r="G51" s="59"/>
      <c r="H51"/>
      <c r="I51" s="59"/>
      <c r="J51"/>
      <c r="K51" s="59"/>
      <c r="L51"/>
      <c r="M51" s="59"/>
      <c r="N51"/>
      <c r="O51" s="59"/>
      <c r="P51"/>
      <c r="Q51" s="59"/>
    </row>
    <row r="52" spans="2:17" x14ac:dyDescent="0.4">
      <c r="B52"/>
      <c r="C52" s="59"/>
      <c r="D52"/>
      <c r="E52" s="59"/>
      <c r="F52"/>
      <c r="G52" s="59"/>
      <c r="H52"/>
      <c r="I52" s="59"/>
      <c r="J52"/>
      <c r="K52" s="59"/>
      <c r="L52"/>
      <c r="M52" s="59"/>
      <c r="N52"/>
      <c r="O52" s="59"/>
      <c r="P52"/>
      <c r="Q52" s="59"/>
    </row>
    <row r="53" spans="2:17" customFormat="1" ht="14.4" x14ac:dyDescent="0.3">
      <c r="C53" s="59"/>
      <c r="E53" s="59"/>
      <c r="G53" s="59"/>
      <c r="I53" s="59"/>
      <c r="K53" s="59"/>
      <c r="M53" s="59"/>
      <c r="O53" s="59"/>
      <c r="Q53" s="59"/>
    </row>
    <row r="54" spans="2:17" customFormat="1" ht="14.4" x14ac:dyDescent="0.3">
      <c r="C54" s="59"/>
      <c r="E54" s="59"/>
      <c r="G54" s="59"/>
      <c r="I54" s="59"/>
      <c r="K54" s="59"/>
      <c r="M54" s="59"/>
      <c r="O54" s="59"/>
      <c r="Q54" s="59"/>
    </row>
    <row r="55" spans="2:17" customFormat="1" ht="14.4" x14ac:dyDescent="0.3">
      <c r="C55" s="59"/>
      <c r="E55" s="59"/>
      <c r="G55" s="59"/>
      <c r="I55" s="59"/>
      <c r="K55" s="59"/>
      <c r="M55" s="59"/>
      <c r="O55" s="59"/>
      <c r="Q55" s="59"/>
    </row>
    <row r="56" spans="2:17" customFormat="1" ht="14.4" x14ac:dyDescent="0.3">
      <c r="C56" s="59"/>
      <c r="E56" s="59"/>
      <c r="G56" s="59"/>
      <c r="I56" s="59"/>
      <c r="K56" s="59"/>
      <c r="M56" s="59"/>
      <c r="O56" s="59"/>
      <c r="Q56" s="59"/>
    </row>
    <row r="57" spans="2:17" customFormat="1" ht="14.4" x14ac:dyDescent="0.3">
      <c r="C57" s="59"/>
      <c r="E57" s="59"/>
      <c r="G57" s="59"/>
      <c r="I57" s="59"/>
      <c r="K57" s="59"/>
      <c r="M57" s="59"/>
      <c r="O57" s="59"/>
      <c r="Q57" s="59"/>
    </row>
    <row r="58" spans="2:17" customFormat="1" ht="14.4" x14ac:dyDescent="0.3">
      <c r="C58" s="59"/>
      <c r="E58" s="59"/>
      <c r="G58" s="59"/>
      <c r="I58" s="59"/>
      <c r="K58" s="59"/>
      <c r="M58" s="59"/>
      <c r="O58" s="59"/>
      <c r="Q58" s="59"/>
    </row>
    <row r="59" spans="2:17" customFormat="1" ht="14.4" x14ac:dyDescent="0.3">
      <c r="C59" s="59"/>
      <c r="E59" s="59"/>
      <c r="G59" s="59"/>
      <c r="I59" s="59"/>
      <c r="K59" s="59"/>
      <c r="M59" s="59"/>
      <c r="O59" s="59"/>
      <c r="Q59" s="59"/>
    </row>
    <row r="60" spans="2:17" customFormat="1" ht="14.4" x14ac:dyDescent="0.3">
      <c r="C60" s="59"/>
      <c r="E60" s="59"/>
      <c r="G60" s="59"/>
      <c r="I60" s="59"/>
      <c r="K60" s="59"/>
      <c r="M60" s="59"/>
      <c r="O60" s="59"/>
      <c r="Q60" s="59"/>
    </row>
    <row r="61" spans="2:17" customFormat="1" ht="14.4" x14ac:dyDescent="0.3">
      <c r="C61" s="59"/>
      <c r="E61" s="59"/>
      <c r="G61" s="59"/>
      <c r="I61" s="59"/>
      <c r="K61" s="59"/>
      <c r="M61" s="59"/>
      <c r="O61" s="59"/>
      <c r="Q61" s="59"/>
    </row>
    <row r="62" spans="2:17" customFormat="1" ht="14.4" x14ac:dyDescent="0.3">
      <c r="B62" s="30"/>
      <c r="C62" s="61"/>
      <c r="D62" s="30"/>
      <c r="E62" s="61"/>
      <c r="F62" s="30"/>
      <c r="G62" s="59"/>
      <c r="I62" s="59"/>
      <c r="K62" s="59"/>
      <c r="M62" s="59"/>
      <c r="O62" s="59"/>
      <c r="Q62" s="59"/>
    </row>
  </sheetData>
  <mergeCells count="9">
    <mergeCell ref="B3:C3"/>
    <mergeCell ref="B2:Q2"/>
    <mergeCell ref="D3:E3"/>
    <mergeCell ref="F3:G3"/>
    <mergeCell ref="H3:I3"/>
    <mergeCell ref="J3:K3"/>
    <mergeCell ref="L3:M3"/>
    <mergeCell ref="N3:O3"/>
    <mergeCell ref="P3:Q3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Adiabate-Vorgänge</vt:lpstr>
      <vt:lpstr>xliv</vt:lpstr>
      <vt:lpstr>xlv</vt:lpstr>
      <vt:lpstr>xlvi</vt:lpstr>
      <vt:lpstr>xlvii</vt:lpstr>
      <vt:lpstr>xlviii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Wolff</dc:creator>
  <cp:lastModifiedBy>Phillip Wolff</cp:lastModifiedBy>
  <dcterms:created xsi:type="dcterms:W3CDTF">2026-01-14T20:39:11Z</dcterms:created>
  <dcterms:modified xsi:type="dcterms:W3CDTF">2026-01-27T00:03:18Z</dcterms:modified>
</cp:coreProperties>
</file>
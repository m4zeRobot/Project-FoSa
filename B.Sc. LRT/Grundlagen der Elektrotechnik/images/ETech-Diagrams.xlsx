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ip\Documents\Git\Project-FoSa\B.Sc. LRT\Grundlagen der Elektrotechnik\images\"/>
    </mc:Choice>
  </mc:AlternateContent>
  <xr:revisionPtr revIDLastSave="0" documentId="13_ncr:1_{D7996C74-F03A-45B5-8574-11B2C17BB51E}" xr6:coauthVersionLast="47" xr6:coauthVersionMax="47" xr10:uidLastSave="{00000000-0000-0000-0000-000000000000}"/>
  <bookViews>
    <workbookView xWindow="-108" yWindow="-108" windowWidth="46296" windowHeight="18696" xr2:uid="{6006CF3B-C9F1-47C1-9F3F-D0CD89A908B6}"/>
  </bookViews>
  <sheets>
    <sheet name="Ladekur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5" i="1"/>
</calcChain>
</file>

<file path=xl/sharedStrings.xml><?xml version="1.0" encoding="utf-8"?>
<sst xmlns="http://schemas.openxmlformats.org/spreadsheetml/2006/main" count="13" uniqueCount="9">
  <si>
    <t>Ladevorgang</t>
  </si>
  <si>
    <t>Entladevorgang</t>
  </si>
  <si>
    <r>
      <t xml:space="preserve">Zeit </t>
    </r>
    <r>
      <rPr>
        <i/>
        <sz val="11"/>
        <color theme="0"/>
        <rFont val="CMU Serif"/>
      </rPr>
      <t>t</t>
    </r>
  </si>
  <si>
    <t>U</t>
  </si>
  <si>
    <t>I</t>
  </si>
  <si>
    <t>[V]</t>
  </si>
  <si>
    <r>
      <t>[</t>
    </r>
    <r>
      <rPr>
        <sz val="5"/>
        <color theme="0"/>
        <rFont val="CMU Serif"/>
      </rPr>
      <t xml:space="preserve"> </t>
    </r>
    <r>
      <rPr>
        <sz val="11"/>
        <color theme="0"/>
        <rFont val="CMU Serif"/>
      </rPr>
      <t>ms</t>
    </r>
    <r>
      <rPr>
        <sz val="5"/>
        <color theme="0"/>
        <rFont val="CMU Serif"/>
      </rPr>
      <t xml:space="preserve"> </t>
    </r>
    <r>
      <rPr>
        <sz val="11"/>
        <color theme="0"/>
        <rFont val="CMU Serif"/>
      </rPr>
      <t>]</t>
    </r>
  </si>
  <si>
    <r>
      <t>(</t>
    </r>
    <r>
      <rPr>
        <i/>
        <sz val="11"/>
        <color theme="0"/>
        <rFont val="CMU Serif"/>
      </rPr>
      <t>τ</t>
    </r>
    <r>
      <rPr>
        <sz val="11"/>
        <color theme="0"/>
        <rFont val="CMU Serif"/>
      </rPr>
      <t xml:space="preserve"> = 1ms)</t>
    </r>
  </si>
  <si>
    <t>[mA]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</si>
</sst>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CMU Serif"/>
    </font>
    <font>
      <sz val="11"/>
      <color theme="1"/>
      <name val="CMU Serif"/>
    </font>
    <font>
      <i/>
      <sz val="11"/>
      <color theme="0"/>
      <name val="CMU Serif"/>
    </font>
    <font>
      <sz val="5"/>
      <color theme="0"/>
      <name val="CMU Serif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86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02204709758057"/>
          <c:y val="3.7592538895471282E-2"/>
          <c:w val="0.81907162307279624"/>
          <c:h val="0.79217811811780192"/>
        </c:manualLayout>
      </c:layout>
      <c:scatterChart>
        <c:scatterStyle val="smoothMarker"/>
        <c:varyColors val="0"/>
        <c:ser>
          <c:idx val="0"/>
          <c:order val="0"/>
          <c:tx>
            <c:v>Ladekurve U</c:v>
          </c:tx>
          <c:spPr>
            <a:ln w="25400" cap="rnd">
              <a:solidFill>
                <a:srgbClr val="086FBD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8718-445B-822F-FC8B12FA1E1E}"/>
              </c:ext>
            </c:extLst>
          </c:dPt>
          <c:xVal>
            <c:numRef>
              <c:f>Ladekurve!$B$5:$B$30</c:f>
              <c:numCache>
                <c:formatCode>0.0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Ladekurve!$C$5:$C$30</c:f>
              <c:numCache>
                <c:formatCode>0.000</c:formatCode>
                <c:ptCount val="26"/>
                <c:pt idx="0">
                  <c:v>0</c:v>
                </c:pt>
                <c:pt idx="1">
                  <c:v>1.8126924692201818</c:v>
                </c:pt>
                <c:pt idx="2">
                  <c:v>3.2967995396436067</c:v>
                </c:pt>
                <c:pt idx="3">
                  <c:v>4.5118836390597359</c:v>
                </c:pt>
                <c:pt idx="4">
                  <c:v>5.5067103588277844</c:v>
                </c:pt>
                <c:pt idx="5">
                  <c:v>6.3212055882855767</c:v>
                </c:pt>
                <c:pt idx="6">
                  <c:v>6.9880578808779781</c:v>
                </c:pt>
                <c:pt idx="7">
                  <c:v>7.5340303605839356</c:v>
                </c:pt>
                <c:pt idx="8">
                  <c:v>7.9810348200534467</c:v>
                </c:pt>
                <c:pt idx="9">
                  <c:v>8.3470111177841346</c:v>
                </c:pt>
                <c:pt idx="10">
                  <c:v>8.6466471676338728</c:v>
                </c:pt>
                <c:pt idx="11">
                  <c:v>8.8919684163766615</c:v>
                </c:pt>
                <c:pt idx="12">
                  <c:v>9.0928204671058754</c:v>
                </c:pt>
                <c:pt idx="13">
                  <c:v>9.2572642178566618</c:v>
                </c:pt>
                <c:pt idx="14">
                  <c:v>9.3918993737478207</c:v>
                </c:pt>
                <c:pt idx="15">
                  <c:v>9.5021293163213603</c:v>
                </c:pt>
                <c:pt idx="16">
                  <c:v>9.5923779602163393</c:v>
                </c:pt>
                <c:pt idx="17">
                  <c:v>9.6662673003967399</c:v>
                </c:pt>
                <c:pt idx="18">
                  <c:v>9.7267627755270745</c:v>
                </c:pt>
                <c:pt idx="19">
                  <c:v>9.7762922814383444</c:v>
                </c:pt>
                <c:pt idx="20">
                  <c:v>9.8168436111126578</c:v>
                </c:pt>
                <c:pt idx="21">
                  <c:v>9.8500442317952235</c:v>
                </c:pt>
                <c:pt idx="22">
                  <c:v>9.8772266009693155</c:v>
                </c:pt>
                <c:pt idx="23">
                  <c:v>9.8994816425536651</c:v>
                </c:pt>
                <c:pt idx="24">
                  <c:v>9.9177025295097998</c:v>
                </c:pt>
                <c:pt idx="25">
                  <c:v>9.9326205300091459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7D-46BD-8EBB-5D21684EB094}"/>
            </c:ext>
          </c:extLst>
        </c:ser>
        <c:ser>
          <c:idx val="1"/>
          <c:order val="1"/>
          <c:tx>
            <c:v>Ladekurve I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D17D-46BD-8EBB-5D21684EB094}"/>
              </c:ext>
            </c:extLst>
          </c:dPt>
          <c:xVal>
            <c:numRef>
              <c:f>Ladekurve!$B$5:$B$30</c:f>
              <c:numCache>
                <c:formatCode>0.0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Ladekurve!$D$5:$D$30</c:f>
              <c:numCache>
                <c:formatCode>0.000</c:formatCode>
                <c:ptCount val="26"/>
                <c:pt idx="0">
                  <c:v>10</c:v>
                </c:pt>
                <c:pt idx="1">
                  <c:v>8.1873075307798189</c:v>
                </c:pt>
                <c:pt idx="2">
                  <c:v>6.7032004603563937</c:v>
                </c:pt>
                <c:pt idx="3">
                  <c:v>5.4881163609402641</c:v>
                </c:pt>
                <c:pt idx="4">
                  <c:v>4.4932896411722156</c:v>
                </c:pt>
                <c:pt idx="5">
                  <c:v>3.6787944117144233</c:v>
                </c:pt>
                <c:pt idx="6">
                  <c:v>3.0119421191220219</c:v>
                </c:pt>
                <c:pt idx="7">
                  <c:v>2.4659696394160644</c:v>
                </c:pt>
                <c:pt idx="8">
                  <c:v>2.0189651799465533</c:v>
                </c:pt>
                <c:pt idx="9">
                  <c:v>1.6529888822158654</c:v>
                </c:pt>
                <c:pt idx="10">
                  <c:v>1.3533528323661272</c:v>
                </c:pt>
                <c:pt idx="11">
                  <c:v>1.1080315836233385</c:v>
                </c:pt>
                <c:pt idx="12">
                  <c:v>0.90717953289412456</c:v>
                </c:pt>
                <c:pt idx="13">
                  <c:v>0.74273578214333824</c:v>
                </c:pt>
                <c:pt idx="14">
                  <c:v>0.60810062625217931</c:v>
                </c:pt>
                <c:pt idx="15">
                  <c:v>0.49787068367863974</c:v>
                </c:pt>
                <c:pt idx="16">
                  <c:v>0.40762203978366074</c:v>
                </c:pt>
                <c:pt idx="17">
                  <c:v>0.33373269960326013</c:v>
                </c:pt>
                <c:pt idx="18">
                  <c:v>0.27323722447292553</c:v>
                </c:pt>
                <c:pt idx="19">
                  <c:v>0.22370771856165561</c:v>
                </c:pt>
                <c:pt idx="20">
                  <c:v>0.1831563888873422</c:v>
                </c:pt>
                <c:pt idx="21">
                  <c:v>0.14995576820477652</c:v>
                </c:pt>
                <c:pt idx="22">
                  <c:v>0.12277339903068452</c:v>
                </c:pt>
                <c:pt idx="23">
                  <c:v>0.10051835744633486</c:v>
                </c:pt>
                <c:pt idx="24">
                  <c:v>8.2297470490200197E-2</c:v>
                </c:pt>
                <c:pt idx="25">
                  <c:v>6.7379469990854091E-2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7D-46BD-8EBB-5D21684EB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rnd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1"/>
        <c:minorUnit val="0.2"/>
      </c:valAx>
      <c:valAx>
        <c:axId val="1903764864"/>
        <c:scaling>
          <c:orientation val="minMax"/>
          <c:max val="10"/>
          <c:min val="0"/>
        </c:scaling>
        <c:delete val="1"/>
        <c:axPos val="l"/>
        <c:majorGridlines>
          <c:spPr>
            <a:ln w="9525" cap="rnd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crossAx val="1903764384"/>
        <c:crosses val="autoZero"/>
        <c:crossBetween val="midCat"/>
        <c:majorUnit val="1"/>
        <c:minorUnit val="0.2"/>
      </c:valAx>
      <c:spPr>
        <a:noFill/>
        <a:ln cap="rnd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02204709758057"/>
          <c:y val="3.7592538895471282E-2"/>
          <c:w val="0.81907162307279624"/>
          <c:h val="0.79217811811780192"/>
        </c:manualLayout>
      </c:layout>
      <c:scatterChart>
        <c:scatterStyle val="smoothMarker"/>
        <c:varyColors val="0"/>
        <c:ser>
          <c:idx val="0"/>
          <c:order val="0"/>
          <c:tx>
            <c:v>Entladekurve U</c:v>
          </c:tx>
          <c:spPr>
            <a:ln w="25400" cap="rnd">
              <a:solidFill>
                <a:srgbClr val="086FBD"/>
              </a:solidFill>
              <a:round/>
            </a:ln>
            <a:effectLst/>
          </c:spPr>
          <c:marker>
            <c:symbol val="none"/>
          </c:marker>
          <c:xVal>
            <c:numRef>
              <c:f>Ladekurve!$B$5:$B$30</c:f>
              <c:numCache>
                <c:formatCode>0.0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Ladekurve!$E$5:$E$30</c:f>
              <c:numCache>
                <c:formatCode>0.000</c:formatCode>
                <c:ptCount val="26"/>
                <c:pt idx="0">
                  <c:v>10</c:v>
                </c:pt>
                <c:pt idx="1">
                  <c:v>8.1873075307798189</c:v>
                </c:pt>
                <c:pt idx="2">
                  <c:v>6.7032004603563937</c:v>
                </c:pt>
                <c:pt idx="3">
                  <c:v>5.4881163609402641</c:v>
                </c:pt>
                <c:pt idx="4">
                  <c:v>4.4932896411722156</c:v>
                </c:pt>
                <c:pt idx="5">
                  <c:v>3.6787944117144233</c:v>
                </c:pt>
                <c:pt idx="6">
                  <c:v>3.0119421191220219</c:v>
                </c:pt>
                <c:pt idx="7">
                  <c:v>2.4659696394160644</c:v>
                </c:pt>
                <c:pt idx="8">
                  <c:v>2.0189651799465533</c:v>
                </c:pt>
                <c:pt idx="9">
                  <c:v>1.6529888822158654</c:v>
                </c:pt>
                <c:pt idx="10">
                  <c:v>1.3533528323661272</c:v>
                </c:pt>
                <c:pt idx="11">
                  <c:v>1.1080315836233385</c:v>
                </c:pt>
                <c:pt idx="12">
                  <c:v>0.90717953289412456</c:v>
                </c:pt>
                <c:pt idx="13">
                  <c:v>0.74273578214333824</c:v>
                </c:pt>
                <c:pt idx="14">
                  <c:v>0.60810062625217931</c:v>
                </c:pt>
                <c:pt idx="15">
                  <c:v>0.49787068367863974</c:v>
                </c:pt>
                <c:pt idx="16">
                  <c:v>0.40762203978366074</c:v>
                </c:pt>
                <c:pt idx="17">
                  <c:v>0.33373269960326013</c:v>
                </c:pt>
                <c:pt idx="18">
                  <c:v>0.27323722447292553</c:v>
                </c:pt>
                <c:pt idx="19">
                  <c:v>0.22370771856165561</c:v>
                </c:pt>
                <c:pt idx="20">
                  <c:v>0.1831563888873422</c:v>
                </c:pt>
                <c:pt idx="21">
                  <c:v>0.14995576820477652</c:v>
                </c:pt>
                <c:pt idx="22">
                  <c:v>0.12277339903068452</c:v>
                </c:pt>
                <c:pt idx="23">
                  <c:v>0.10051835744633486</c:v>
                </c:pt>
                <c:pt idx="24">
                  <c:v>8.2297470490200197E-2</c:v>
                </c:pt>
                <c:pt idx="25">
                  <c:v>6.7379469990854091E-2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5C-4369-B019-FDA3A5FD0EF0}"/>
            </c:ext>
          </c:extLst>
        </c:ser>
        <c:ser>
          <c:idx val="1"/>
          <c:order val="1"/>
          <c:tx>
            <c:v>Entladekurve I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Ladekurve!$B$5:$B$30</c:f>
              <c:numCache>
                <c:formatCode>0.0</c:formatCode>
                <c:ptCount val="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Ladekurve!$F$5:$F$30</c:f>
              <c:numCache>
                <c:formatCode>0.000</c:formatCode>
                <c:ptCount val="26"/>
                <c:pt idx="0">
                  <c:v>-10</c:v>
                </c:pt>
                <c:pt idx="1">
                  <c:v>-8.1873075307798189</c:v>
                </c:pt>
                <c:pt idx="2">
                  <c:v>-6.7032004603563937</c:v>
                </c:pt>
                <c:pt idx="3">
                  <c:v>-5.4881163609402641</c:v>
                </c:pt>
                <c:pt idx="4">
                  <c:v>-4.4932896411722156</c:v>
                </c:pt>
                <c:pt idx="5">
                  <c:v>-3.6787944117144233</c:v>
                </c:pt>
                <c:pt idx="6">
                  <c:v>-3.0119421191220219</c:v>
                </c:pt>
                <c:pt idx="7">
                  <c:v>-2.4659696394160644</c:v>
                </c:pt>
                <c:pt idx="8">
                  <c:v>-2.0189651799465533</c:v>
                </c:pt>
                <c:pt idx="9">
                  <c:v>-1.6529888822158654</c:v>
                </c:pt>
                <c:pt idx="10">
                  <c:v>-1.3533528323661272</c:v>
                </c:pt>
                <c:pt idx="11">
                  <c:v>-1.1080315836233385</c:v>
                </c:pt>
                <c:pt idx="12">
                  <c:v>-0.90717953289412456</c:v>
                </c:pt>
                <c:pt idx="13">
                  <c:v>-0.74273578214333824</c:v>
                </c:pt>
                <c:pt idx="14">
                  <c:v>-0.60810062625217931</c:v>
                </c:pt>
                <c:pt idx="15">
                  <c:v>-0.49787068367863974</c:v>
                </c:pt>
                <c:pt idx="16">
                  <c:v>-0.40762203978366074</c:v>
                </c:pt>
                <c:pt idx="17">
                  <c:v>-0.33373269960326013</c:v>
                </c:pt>
                <c:pt idx="18">
                  <c:v>-0.27323722447292553</c:v>
                </c:pt>
                <c:pt idx="19">
                  <c:v>-0.22370771856165561</c:v>
                </c:pt>
                <c:pt idx="20">
                  <c:v>-0.1831563888873422</c:v>
                </c:pt>
                <c:pt idx="21">
                  <c:v>-0.14995576820477652</c:v>
                </c:pt>
                <c:pt idx="22">
                  <c:v>-0.12277339903068452</c:v>
                </c:pt>
                <c:pt idx="23">
                  <c:v>-0.10051835744633486</c:v>
                </c:pt>
                <c:pt idx="24">
                  <c:v>-8.2297470490200197E-2</c:v>
                </c:pt>
                <c:pt idx="25">
                  <c:v>-6.7379469990854091E-2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5C-4369-B019-FDA3A5FD0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rnd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1"/>
        <c:minorUnit val="0.2"/>
      </c:valAx>
      <c:valAx>
        <c:axId val="1903764864"/>
        <c:scaling>
          <c:orientation val="minMax"/>
          <c:max val="10"/>
          <c:min val="-10"/>
        </c:scaling>
        <c:delete val="1"/>
        <c:axPos val="l"/>
        <c:majorGridlines>
          <c:spPr>
            <a:ln w="9525" cap="rnd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" sourceLinked="0"/>
        <c:majorTickMark val="out"/>
        <c:minorTickMark val="none"/>
        <c:tickLblPos val="nextTo"/>
        <c:crossAx val="1903764384"/>
        <c:crosses val="autoZero"/>
        <c:crossBetween val="midCat"/>
        <c:majorUnit val="1"/>
        <c:minorUnit val="0.5"/>
      </c:valAx>
      <c:spPr>
        <a:noFill/>
        <a:ln cap="rnd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771175</xdr:colOff>
      <xdr:row>1</xdr:row>
      <xdr:rowOff>2294</xdr:rowOff>
    </xdr:from>
    <xdr:to>
      <xdr:col>14</xdr:col>
      <xdr:colOff>1</xdr:colOff>
      <xdr:row>30</xdr:row>
      <xdr:rowOff>201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178FFAB1-3A9F-1C01-B04C-D8EAFE7409EC}"/>
            </a:ext>
          </a:extLst>
        </xdr:cNvPr>
        <xdr:cNvGrpSpPr/>
      </xdr:nvGrpSpPr>
      <xdr:grpSpPr>
        <a:xfrm>
          <a:off x="4345618" y="187824"/>
          <a:ext cx="5567009" cy="5762603"/>
          <a:chOff x="4908438" y="184002"/>
          <a:chExt cx="5560270" cy="5777183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DC3E6D86-071B-66F2-0681-6A9083FCC4F5}"/>
              </a:ext>
            </a:extLst>
          </xdr:cNvPr>
          <xdr:cNvGraphicFramePr/>
        </xdr:nvGraphicFramePr>
        <xdr:xfrm>
          <a:off x="4930472" y="184002"/>
          <a:ext cx="5538236" cy="57771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7" name="Textfeld 16">
            <a:extLst>
              <a:ext uri="{FF2B5EF4-FFF2-40B4-BE49-F238E27FC236}">
                <a16:creationId xmlns:a16="http://schemas.microsoft.com/office/drawing/2014/main" id="{09A080CA-B9B9-26A6-38F6-B0F7936F2227}"/>
              </a:ext>
            </a:extLst>
          </xdr:cNvPr>
          <xdr:cNvSpPr txBox="1"/>
        </xdr:nvSpPr>
        <xdr:spPr>
          <a:xfrm>
            <a:off x="6757973" y="4824943"/>
            <a:ext cx="2476520" cy="9367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de-DE" sz="160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Zeit (Vielfaches</a:t>
            </a:r>
            <a:r>
              <a:rPr lang="de-DE" sz="1600" baseline="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von</a:t>
            </a:r>
            <a:r>
              <a:rPr lang="de-DE" sz="160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de-DE" sz="1600" i="1">
                <a:latin typeface="Latin Modern Math" panose="02000503000000000000" pitchFamily="50" charset="0"/>
                <a:ea typeface="Latin Modern Math" panose="02000503000000000000" pitchFamily="50" charset="0"/>
              </a:rPr>
              <a:t>τ</a:t>
            </a:r>
            <a:r>
              <a:rPr lang="de-DE" sz="1600" i="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)</a:t>
            </a:r>
          </a:p>
        </xdr:txBody>
      </xdr:sp>
      <xdr:sp macro="" textlink="">
        <xdr:nvSpPr>
          <xdr:cNvPr id="18" name="Textfeld 17">
            <a:extLst>
              <a:ext uri="{FF2B5EF4-FFF2-40B4-BE49-F238E27FC236}">
                <a16:creationId xmlns:a16="http://schemas.microsoft.com/office/drawing/2014/main" id="{1000A3A0-980D-4DED-990E-61FFBB4180BE}"/>
              </a:ext>
            </a:extLst>
          </xdr:cNvPr>
          <xdr:cNvSpPr txBox="1"/>
        </xdr:nvSpPr>
        <xdr:spPr>
          <a:xfrm rot="16200000">
            <a:off x="4800076" y="2355419"/>
            <a:ext cx="1736903" cy="7640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de-DE" sz="1600" i="1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u</a:t>
            </a:r>
            <a:r>
              <a:rPr lang="de-DE" sz="1600" baseline="-25000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C</a:t>
            </a:r>
            <a:r>
              <a:rPr lang="de-DE" sz="1600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(</a:t>
            </a:r>
            <a:r>
              <a:rPr lang="de-DE" sz="1600" i="1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t</a:t>
            </a:r>
            <a:r>
              <a:rPr lang="de-DE" sz="1600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)  </a:t>
            </a:r>
            <a:r>
              <a:rPr lang="de-DE" sz="160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/  </a:t>
            </a:r>
            <a:r>
              <a:rPr lang="de-DE" sz="1600" i="1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i</a:t>
            </a:r>
            <a:r>
              <a:rPr lang="de-DE" sz="16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(</a:t>
            </a:r>
            <a:r>
              <a:rPr lang="de-DE" sz="1600" i="1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t</a:t>
            </a:r>
            <a:r>
              <a:rPr lang="de-DE" sz="16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)</a:t>
            </a:r>
            <a:endParaRPr lang="de-DE" sz="1600" i="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" name="Textfeld 1">
            <a:extLst>
              <a:ext uri="{FF2B5EF4-FFF2-40B4-BE49-F238E27FC236}">
                <a16:creationId xmlns:a16="http://schemas.microsoft.com/office/drawing/2014/main" id="{872A34F0-45A6-4E38-B09A-0E31DA4998C8}"/>
              </a:ext>
            </a:extLst>
          </xdr:cNvPr>
          <xdr:cNvSpPr txBox="1"/>
        </xdr:nvSpPr>
        <xdr:spPr>
          <a:xfrm>
            <a:off x="4908438" y="241488"/>
            <a:ext cx="877446" cy="7794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de-DE" sz="1600" i="1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û</a:t>
            </a:r>
            <a:r>
              <a:rPr lang="de-DE" sz="1600" i="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/ </a:t>
            </a:r>
            <a:r>
              <a:rPr lang="de-DE" sz="1600" i="1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î</a:t>
            </a:r>
          </a:p>
        </xdr:txBody>
      </xdr:sp>
    </xdr:grpSp>
    <xdr:clientData/>
  </xdr:twoCellAnchor>
  <xdr:twoCellAnchor>
    <xdr:from>
      <xdr:col>7</xdr:col>
      <xdr:colOff>99900</xdr:colOff>
      <xdr:row>24</xdr:row>
      <xdr:rowOff>18606</xdr:rowOff>
    </xdr:from>
    <xdr:to>
      <xdr:col>8</xdr:col>
      <xdr:colOff>186038</xdr:colOff>
      <xdr:row>27</xdr:row>
      <xdr:rowOff>184258</xdr:rowOff>
    </xdr:to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B0A25438-C149-4D6B-9FA7-1844B2862E59}"/>
            </a:ext>
          </a:extLst>
        </xdr:cNvPr>
        <xdr:cNvSpPr txBox="1"/>
      </xdr:nvSpPr>
      <xdr:spPr>
        <a:xfrm>
          <a:off x="5056213" y="4776136"/>
          <a:ext cx="881268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 i="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0</a:t>
          </a:r>
        </a:p>
      </xdr:txBody>
    </xdr:sp>
    <xdr:clientData/>
  </xdr:twoCellAnchor>
  <xdr:twoCellAnchor>
    <xdr:from>
      <xdr:col>14</xdr:col>
      <xdr:colOff>132522</xdr:colOff>
      <xdr:row>1</xdr:row>
      <xdr:rowOff>0</xdr:rowOff>
    </xdr:from>
    <xdr:to>
      <xdr:col>22</xdr:col>
      <xdr:colOff>1805</xdr:colOff>
      <xdr:row>29</xdr:row>
      <xdr:rowOff>196690</xdr:rowOff>
    </xdr:to>
    <xdr:grpSp>
      <xdr:nvGrpSpPr>
        <xdr:cNvPr id="19" name="Gruppieren 18">
          <a:extLst>
            <a:ext uri="{FF2B5EF4-FFF2-40B4-BE49-F238E27FC236}">
              <a16:creationId xmlns:a16="http://schemas.microsoft.com/office/drawing/2014/main" id="{BA01DE45-4564-76A6-C070-2066A30062C9}"/>
            </a:ext>
          </a:extLst>
        </xdr:cNvPr>
        <xdr:cNvGrpSpPr/>
      </xdr:nvGrpSpPr>
      <xdr:grpSpPr>
        <a:xfrm>
          <a:off x="10045148" y="185530"/>
          <a:ext cx="5620727" cy="5762603"/>
          <a:chOff x="10654748" y="185530"/>
          <a:chExt cx="5620727" cy="5762603"/>
        </a:xfrm>
      </xdr:grpSpPr>
      <xdr:graphicFrame macro="">
        <xdr:nvGraphicFramePr>
          <xdr:cNvPr id="16" name="Diagramm 15">
            <a:extLst>
              <a:ext uri="{FF2B5EF4-FFF2-40B4-BE49-F238E27FC236}">
                <a16:creationId xmlns:a16="http://schemas.microsoft.com/office/drawing/2014/main" id="{1FAAC6C4-83CC-4422-8382-C1286DC491F3}"/>
              </a:ext>
            </a:extLst>
          </xdr:cNvPr>
          <xdr:cNvGraphicFramePr>
            <a:graphicFrameLocks/>
          </xdr:cNvGraphicFramePr>
        </xdr:nvGraphicFramePr>
        <xdr:xfrm>
          <a:off x="10707757" y="185530"/>
          <a:ext cx="5567718" cy="57626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B50260A3-A6C7-9BDF-AAE7-027329C51669}"/>
              </a:ext>
            </a:extLst>
          </xdr:cNvPr>
          <xdr:cNvSpPr txBox="1"/>
        </xdr:nvSpPr>
        <xdr:spPr>
          <a:xfrm>
            <a:off x="12576315" y="4813990"/>
            <a:ext cx="2473698" cy="9970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de-DE" sz="160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Zeit (Vielfaches von </a:t>
            </a:r>
            <a:r>
              <a:rPr lang="de-DE" sz="1600" i="1">
                <a:latin typeface="Latin Modern Math" panose="02000503000000000000" pitchFamily="50" charset="0"/>
                <a:ea typeface="Latin Modern Math" panose="02000503000000000000" pitchFamily="50" charset="0"/>
              </a:rPr>
              <a:t>τ</a:t>
            </a:r>
            <a:r>
              <a:rPr lang="de-DE" sz="1600" i="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)</a:t>
            </a:r>
          </a:p>
        </xdr:txBody>
      </xdr:sp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B8EEDBE6-274E-C569-2536-56163CF37A81}"/>
              </a:ext>
            </a:extLst>
          </xdr:cNvPr>
          <xdr:cNvSpPr txBox="1"/>
        </xdr:nvSpPr>
        <xdr:spPr>
          <a:xfrm rot="16200000">
            <a:off x="10561404" y="1509457"/>
            <a:ext cx="1724749" cy="7731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de-DE" sz="1600" i="1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u</a:t>
            </a:r>
            <a:r>
              <a:rPr lang="de-DE" sz="1600" baseline="-25000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C</a:t>
            </a:r>
            <a:r>
              <a:rPr lang="de-DE" sz="1600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(</a:t>
            </a:r>
            <a:r>
              <a:rPr lang="de-DE" sz="1600" i="1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t</a:t>
            </a:r>
            <a:r>
              <a:rPr lang="de-DE" sz="1600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)  </a:t>
            </a:r>
            <a:r>
              <a:rPr lang="de-DE" sz="160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/  </a:t>
            </a:r>
            <a:r>
              <a:rPr lang="de-DE" sz="1600" i="1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i</a:t>
            </a:r>
            <a:r>
              <a:rPr lang="de-DE" sz="16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(</a:t>
            </a:r>
            <a:r>
              <a:rPr lang="de-DE" sz="1600" i="1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t</a:t>
            </a:r>
            <a:r>
              <a:rPr lang="de-DE" sz="160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)</a:t>
            </a:r>
            <a:endParaRPr lang="de-DE" sz="1600" i="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9" name="Textfeld 8">
            <a:extLst>
              <a:ext uri="{FF2B5EF4-FFF2-40B4-BE49-F238E27FC236}">
                <a16:creationId xmlns:a16="http://schemas.microsoft.com/office/drawing/2014/main" id="{CB6BA167-4BAE-7F4E-8342-C760943E5F67}"/>
              </a:ext>
            </a:extLst>
          </xdr:cNvPr>
          <xdr:cNvSpPr txBox="1"/>
        </xdr:nvSpPr>
        <xdr:spPr>
          <a:xfrm>
            <a:off x="10725573" y="225287"/>
            <a:ext cx="887941" cy="7744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de-DE" sz="1600" i="1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û</a:t>
            </a:r>
            <a:r>
              <a:rPr lang="de-DE" sz="1600" i="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/ </a:t>
            </a:r>
            <a:r>
              <a:rPr lang="de-DE" sz="1600" i="1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î</a:t>
            </a:r>
          </a:p>
        </xdr:txBody>
      </xdr:sp>
      <xdr:sp macro="" textlink="">
        <xdr:nvSpPr>
          <xdr:cNvPr id="12" name="Textfeld 11">
            <a:extLst>
              <a:ext uri="{FF2B5EF4-FFF2-40B4-BE49-F238E27FC236}">
                <a16:creationId xmlns:a16="http://schemas.microsoft.com/office/drawing/2014/main" id="{E1AA0435-1707-43E7-A062-36EB60FA263C}"/>
              </a:ext>
            </a:extLst>
          </xdr:cNvPr>
          <xdr:cNvSpPr txBox="1"/>
        </xdr:nvSpPr>
        <xdr:spPr>
          <a:xfrm>
            <a:off x="10861770" y="2511286"/>
            <a:ext cx="858185" cy="737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de-DE" sz="1600" i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</a:t>
            </a:r>
          </a:p>
        </xdr:txBody>
      </xdr:sp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E0A63665-0F62-4F1B-B1C0-1155C54A5483}"/>
              </a:ext>
            </a:extLst>
          </xdr:cNvPr>
          <xdr:cNvSpPr txBox="1"/>
        </xdr:nvSpPr>
        <xdr:spPr>
          <a:xfrm>
            <a:off x="10654748" y="4797287"/>
            <a:ext cx="852473" cy="7474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de-DE" sz="1600" i="1">
                <a:solidFill>
                  <a:srgbClr val="086FBD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-û</a:t>
            </a:r>
            <a:r>
              <a:rPr lang="de-DE" sz="1600" i="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/ </a:t>
            </a:r>
            <a:r>
              <a:rPr lang="de-DE" sz="1600" i="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</a:t>
            </a:r>
            <a:r>
              <a:rPr lang="de-DE" sz="1600" i="1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î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E1ED-FFED-4C13-A323-27693F15144F}">
  <dimension ref="B2:F30"/>
  <sheetViews>
    <sheetView tabSelected="1" zoomScale="115" zoomScaleNormal="115" workbookViewId="0">
      <selection activeCell="X2" sqref="X2"/>
    </sheetView>
  </sheetViews>
  <sheetFormatPr baseColWidth="10" defaultRowHeight="14.4" x14ac:dyDescent="0.3"/>
  <cols>
    <col min="1" max="1" width="2.6640625" customWidth="1"/>
    <col min="7" max="7" width="2.6640625" customWidth="1"/>
    <col min="15" max="15" width="2.6640625" customWidth="1"/>
  </cols>
  <sheetData>
    <row r="2" spans="2:6" ht="15.6" x14ac:dyDescent="0.4">
      <c r="B2" s="1" t="s">
        <v>2</v>
      </c>
      <c r="C2" s="5" t="s">
        <v>0</v>
      </c>
      <c r="D2" s="5"/>
      <c r="E2" s="5" t="s">
        <v>1</v>
      </c>
      <c r="F2" s="5"/>
    </row>
    <row r="3" spans="2:6" ht="15.6" x14ac:dyDescent="0.4">
      <c r="B3" s="1" t="s">
        <v>7</v>
      </c>
      <c r="C3" s="2" t="s">
        <v>3</v>
      </c>
      <c r="D3" s="2" t="s">
        <v>4</v>
      </c>
      <c r="E3" s="2" t="s">
        <v>3</v>
      </c>
      <c r="F3" s="2" t="s">
        <v>4</v>
      </c>
    </row>
    <row r="4" spans="2:6" ht="15.6" x14ac:dyDescent="0.4">
      <c r="B4" s="1" t="s">
        <v>6</v>
      </c>
      <c r="C4" s="1" t="s">
        <v>5</v>
      </c>
      <c r="D4" s="1" t="s">
        <v>8</v>
      </c>
      <c r="E4" s="1" t="s">
        <v>5</v>
      </c>
      <c r="F4" s="1" t="s">
        <v>8</v>
      </c>
    </row>
    <row r="5" spans="2:6" ht="15.6" x14ac:dyDescent="0.4">
      <c r="B5" s="3">
        <v>0</v>
      </c>
      <c r="C5" s="4">
        <f>10*(1-EXP(-1*$B5))</f>
        <v>0</v>
      </c>
      <c r="D5" s="4">
        <f>10-C5</f>
        <v>10</v>
      </c>
      <c r="E5" s="4">
        <f>10-(10*(1-EXP(-1*$B5)))</f>
        <v>10</v>
      </c>
      <c r="F5" s="4">
        <f>E5*(-1)</f>
        <v>-10</v>
      </c>
    </row>
    <row r="6" spans="2:6" ht="15.6" x14ac:dyDescent="0.4">
      <c r="B6" s="3">
        <v>0.2</v>
      </c>
      <c r="C6" s="4">
        <f t="shared" ref="C6:C30" si="0">10*(1-EXP(-1*$B6))</f>
        <v>1.8126924692201818</v>
      </c>
      <c r="D6" s="4">
        <f t="shared" ref="D6:D30" si="1">10-C6</f>
        <v>8.1873075307798189</v>
      </c>
      <c r="E6" s="4">
        <f t="shared" ref="E6:E30" si="2">10-(10*(1-EXP(-1*$B6)))</f>
        <v>8.1873075307798189</v>
      </c>
      <c r="F6" s="4">
        <f t="shared" ref="F6:F30" si="3">E6*(-1)</f>
        <v>-8.1873075307798189</v>
      </c>
    </row>
    <row r="7" spans="2:6" ht="15.6" x14ac:dyDescent="0.4">
      <c r="B7" s="3">
        <v>0.4</v>
      </c>
      <c r="C7" s="4">
        <f t="shared" si="0"/>
        <v>3.2967995396436067</v>
      </c>
      <c r="D7" s="4">
        <f t="shared" si="1"/>
        <v>6.7032004603563937</v>
      </c>
      <c r="E7" s="4">
        <f t="shared" si="2"/>
        <v>6.7032004603563937</v>
      </c>
      <c r="F7" s="4">
        <f t="shared" si="3"/>
        <v>-6.7032004603563937</v>
      </c>
    </row>
    <row r="8" spans="2:6" ht="15.6" x14ac:dyDescent="0.4">
      <c r="B8" s="3">
        <v>0.6</v>
      </c>
      <c r="C8" s="4">
        <f t="shared" si="0"/>
        <v>4.5118836390597359</v>
      </c>
      <c r="D8" s="4">
        <f t="shared" si="1"/>
        <v>5.4881163609402641</v>
      </c>
      <c r="E8" s="4">
        <f t="shared" si="2"/>
        <v>5.4881163609402641</v>
      </c>
      <c r="F8" s="4">
        <f t="shared" si="3"/>
        <v>-5.4881163609402641</v>
      </c>
    </row>
    <row r="9" spans="2:6" ht="15.6" x14ac:dyDescent="0.4">
      <c r="B9" s="3">
        <v>0.8</v>
      </c>
      <c r="C9" s="4">
        <f t="shared" si="0"/>
        <v>5.5067103588277844</v>
      </c>
      <c r="D9" s="4">
        <f t="shared" si="1"/>
        <v>4.4932896411722156</v>
      </c>
      <c r="E9" s="4">
        <f t="shared" si="2"/>
        <v>4.4932896411722156</v>
      </c>
      <c r="F9" s="4">
        <f t="shared" si="3"/>
        <v>-4.4932896411722156</v>
      </c>
    </row>
    <row r="10" spans="2:6" ht="15.6" x14ac:dyDescent="0.4">
      <c r="B10" s="3">
        <v>1</v>
      </c>
      <c r="C10" s="4">
        <f t="shared" si="0"/>
        <v>6.3212055882855767</v>
      </c>
      <c r="D10" s="4">
        <f t="shared" si="1"/>
        <v>3.6787944117144233</v>
      </c>
      <c r="E10" s="4">
        <f t="shared" si="2"/>
        <v>3.6787944117144233</v>
      </c>
      <c r="F10" s="4">
        <f t="shared" si="3"/>
        <v>-3.6787944117144233</v>
      </c>
    </row>
    <row r="11" spans="2:6" ht="15.6" x14ac:dyDescent="0.4">
      <c r="B11" s="3">
        <v>1.2</v>
      </c>
      <c r="C11" s="4">
        <f t="shared" si="0"/>
        <v>6.9880578808779781</v>
      </c>
      <c r="D11" s="4">
        <f t="shared" si="1"/>
        <v>3.0119421191220219</v>
      </c>
      <c r="E11" s="4">
        <f t="shared" si="2"/>
        <v>3.0119421191220219</v>
      </c>
      <c r="F11" s="4">
        <f t="shared" si="3"/>
        <v>-3.0119421191220219</v>
      </c>
    </row>
    <row r="12" spans="2:6" ht="15.6" x14ac:dyDescent="0.4">
      <c r="B12" s="3">
        <v>1.4</v>
      </c>
      <c r="C12" s="4">
        <f t="shared" si="0"/>
        <v>7.5340303605839356</v>
      </c>
      <c r="D12" s="4">
        <f t="shared" si="1"/>
        <v>2.4659696394160644</v>
      </c>
      <c r="E12" s="4">
        <f t="shared" si="2"/>
        <v>2.4659696394160644</v>
      </c>
      <c r="F12" s="4">
        <f t="shared" si="3"/>
        <v>-2.4659696394160644</v>
      </c>
    </row>
    <row r="13" spans="2:6" ht="15.6" x14ac:dyDescent="0.4">
      <c r="B13" s="3">
        <v>1.6</v>
      </c>
      <c r="C13" s="4">
        <f t="shared" si="0"/>
        <v>7.9810348200534467</v>
      </c>
      <c r="D13" s="4">
        <f t="shared" si="1"/>
        <v>2.0189651799465533</v>
      </c>
      <c r="E13" s="4">
        <f t="shared" si="2"/>
        <v>2.0189651799465533</v>
      </c>
      <c r="F13" s="4">
        <f t="shared" si="3"/>
        <v>-2.0189651799465533</v>
      </c>
    </row>
    <row r="14" spans="2:6" ht="15.6" x14ac:dyDescent="0.4">
      <c r="B14" s="3">
        <v>1.8</v>
      </c>
      <c r="C14" s="4">
        <f t="shared" si="0"/>
        <v>8.3470111177841346</v>
      </c>
      <c r="D14" s="4">
        <f t="shared" si="1"/>
        <v>1.6529888822158654</v>
      </c>
      <c r="E14" s="4">
        <f t="shared" si="2"/>
        <v>1.6529888822158654</v>
      </c>
      <c r="F14" s="4">
        <f t="shared" si="3"/>
        <v>-1.6529888822158654</v>
      </c>
    </row>
    <row r="15" spans="2:6" ht="15.6" x14ac:dyDescent="0.4">
      <c r="B15" s="3">
        <v>2</v>
      </c>
      <c r="C15" s="4">
        <f t="shared" si="0"/>
        <v>8.6466471676338728</v>
      </c>
      <c r="D15" s="4">
        <f t="shared" si="1"/>
        <v>1.3533528323661272</v>
      </c>
      <c r="E15" s="4">
        <f t="shared" si="2"/>
        <v>1.3533528323661272</v>
      </c>
      <c r="F15" s="4">
        <f t="shared" si="3"/>
        <v>-1.3533528323661272</v>
      </c>
    </row>
    <row r="16" spans="2:6" ht="15.6" x14ac:dyDescent="0.4">
      <c r="B16" s="3">
        <v>2.2000000000000002</v>
      </c>
      <c r="C16" s="4">
        <f t="shared" si="0"/>
        <v>8.8919684163766615</v>
      </c>
      <c r="D16" s="4">
        <f t="shared" si="1"/>
        <v>1.1080315836233385</v>
      </c>
      <c r="E16" s="4">
        <f t="shared" si="2"/>
        <v>1.1080315836233385</v>
      </c>
      <c r="F16" s="4">
        <f t="shared" si="3"/>
        <v>-1.1080315836233385</v>
      </c>
    </row>
    <row r="17" spans="2:6" ht="15.6" x14ac:dyDescent="0.4">
      <c r="B17" s="3">
        <v>2.4</v>
      </c>
      <c r="C17" s="4">
        <f t="shared" si="0"/>
        <v>9.0928204671058754</v>
      </c>
      <c r="D17" s="4">
        <f t="shared" si="1"/>
        <v>0.90717953289412456</v>
      </c>
      <c r="E17" s="4">
        <f t="shared" si="2"/>
        <v>0.90717953289412456</v>
      </c>
      <c r="F17" s="4">
        <f t="shared" si="3"/>
        <v>-0.90717953289412456</v>
      </c>
    </row>
    <row r="18" spans="2:6" ht="15.6" x14ac:dyDescent="0.4">
      <c r="B18" s="3">
        <v>2.6</v>
      </c>
      <c r="C18" s="4">
        <f t="shared" si="0"/>
        <v>9.2572642178566618</v>
      </c>
      <c r="D18" s="4">
        <f t="shared" si="1"/>
        <v>0.74273578214333824</v>
      </c>
      <c r="E18" s="4">
        <f t="shared" si="2"/>
        <v>0.74273578214333824</v>
      </c>
      <c r="F18" s="4">
        <f t="shared" si="3"/>
        <v>-0.74273578214333824</v>
      </c>
    </row>
    <row r="19" spans="2:6" ht="15.6" x14ac:dyDescent="0.4">
      <c r="B19" s="3">
        <v>2.8</v>
      </c>
      <c r="C19" s="4">
        <f t="shared" si="0"/>
        <v>9.3918993737478207</v>
      </c>
      <c r="D19" s="4">
        <f t="shared" si="1"/>
        <v>0.60810062625217931</v>
      </c>
      <c r="E19" s="4">
        <f t="shared" si="2"/>
        <v>0.60810062625217931</v>
      </c>
      <c r="F19" s="4">
        <f t="shared" si="3"/>
        <v>-0.60810062625217931</v>
      </c>
    </row>
    <row r="20" spans="2:6" ht="15.6" x14ac:dyDescent="0.4">
      <c r="B20" s="3">
        <v>3</v>
      </c>
      <c r="C20" s="4">
        <f t="shared" si="0"/>
        <v>9.5021293163213603</v>
      </c>
      <c r="D20" s="4">
        <f t="shared" si="1"/>
        <v>0.49787068367863974</v>
      </c>
      <c r="E20" s="4">
        <f t="shared" si="2"/>
        <v>0.49787068367863974</v>
      </c>
      <c r="F20" s="4">
        <f t="shared" si="3"/>
        <v>-0.49787068367863974</v>
      </c>
    </row>
    <row r="21" spans="2:6" ht="15.6" x14ac:dyDescent="0.4">
      <c r="B21" s="3">
        <v>3.2</v>
      </c>
      <c r="C21" s="4">
        <f t="shared" si="0"/>
        <v>9.5923779602163393</v>
      </c>
      <c r="D21" s="4">
        <f t="shared" si="1"/>
        <v>0.40762203978366074</v>
      </c>
      <c r="E21" s="4">
        <f t="shared" si="2"/>
        <v>0.40762203978366074</v>
      </c>
      <c r="F21" s="4">
        <f t="shared" si="3"/>
        <v>-0.40762203978366074</v>
      </c>
    </row>
    <row r="22" spans="2:6" ht="15.6" x14ac:dyDescent="0.4">
      <c r="B22" s="3">
        <v>3.4</v>
      </c>
      <c r="C22" s="4">
        <f t="shared" si="0"/>
        <v>9.6662673003967399</v>
      </c>
      <c r="D22" s="4">
        <f t="shared" si="1"/>
        <v>0.33373269960326013</v>
      </c>
      <c r="E22" s="4">
        <f t="shared" si="2"/>
        <v>0.33373269960326013</v>
      </c>
      <c r="F22" s="4">
        <f t="shared" si="3"/>
        <v>-0.33373269960326013</v>
      </c>
    </row>
    <row r="23" spans="2:6" ht="15.6" x14ac:dyDescent="0.4">
      <c r="B23" s="3">
        <v>3.6</v>
      </c>
      <c r="C23" s="4">
        <f t="shared" si="0"/>
        <v>9.7267627755270745</v>
      </c>
      <c r="D23" s="4">
        <f t="shared" si="1"/>
        <v>0.27323722447292553</v>
      </c>
      <c r="E23" s="4">
        <f t="shared" si="2"/>
        <v>0.27323722447292553</v>
      </c>
      <c r="F23" s="4">
        <f t="shared" si="3"/>
        <v>-0.27323722447292553</v>
      </c>
    </row>
    <row r="24" spans="2:6" ht="15.6" x14ac:dyDescent="0.4">
      <c r="B24" s="3">
        <v>3.8</v>
      </c>
      <c r="C24" s="4">
        <f t="shared" si="0"/>
        <v>9.7762922814383444</v>
      </c>
      <c r="D24" s="4">
        <f t="shared" si="1"/>
        <v>0.22370771856165561</v>
      </c>
      <c r="E24" s="4">
        <f t="shared" si="2"/>
        <v>0.22370771856165561</v>
      </c>
      <c r="F24" s="4">
        <f t="shared" si="3"/>
        <v>-0.22370771856165561</v>
      </c>
    </row>
    <row r="25" spans="2:6" ht="15.6" x14ac:dyDescent="0.4">
      <c r="B25" s="3">
        <v>4</v>
      </c>
      <c r="C25" s="4">
        <f t="shared" si="0"/>
        <v>9.8168436111126578</v>
      </c>
      <c r="D25" s="4">
        <f t="shared" si="1"/>
        <v>0.1831563888873422</v>
      </c>
      <c r="E25" s="4">
        <f t="shared" si="2"/>
        <v>0.1831563888873422</v>
      </c>
      <c r="F25" s="4">
        <f t="shared" si="3"/>
        <v>-0.1831563888873422</v>
      </c>
    </row>
    <row r="26" spans="2:6" ht="15.6" x14ac:dyDescent="0.4">
      <c r="B26" s="3">
        <v>4.2</v>
      </c>
      <c r="C26" s="4">
        <f t="shared" si="0"/>
        <v>9.8500442317952235</v>
      </c>
      <c r="D26" s="4">
        <f t="shared" si="1"/>
        <v>0.14995576820477652</v>
      </c>
      <c r="E26" s="4">
        <f t="shared" si="2"/>
        <v>0.14995576820477652</v>
      </c>
      <c r="F26" s="4">
        <f t="shared" si="3"/>
        <v>-0.14995576820477652</v>
      </c>
    </row>
    <row r="27" spans="2:6" ht="15.6" x14ac:dyDescent="0.4">
      <c r="B27" s="3">
        <v>4.4000000000000004</v>
      </c>
      <c r="C27" s="4">
        <f t="shared" si="0"/>
        <v>9.8772266009693155</v>
      </c>
      <c r="D27" s="4">
        <f t="shared" si="1"/>
        <v>0.12277339903068452</v>
      </c>
      <c r="E27" s="4">
        <f t="shared" si="2"/>
        <v>0.12277339903068452</v>
      </c>
      <c r="F27" s="4">
        <f t="shared" si="3"/>
        <v>-0.12277339903068452</v>
      </c>
    </row>
    <row r="28" spans="2:6" ht="15.6" x14ac:dyDescent="0.4">
      <c r="B28" s="3">
        <v>4.5999999999999996</v>
      </c>
      <c r="C28" s="4">
        <f t="shared" si="0"/>
        <v>9.8994816425536651</v>
      </c>
      <c r="D28" s="4">
        <f t="shared" si="1"/>
        <v>0.10051835744633486</v>
      </c>
      <c r="E28" s="4">
        <f t="shared" si="2"/>
        <v>0.10051835744633486</v>
      </c>
      <c r="F28" s="4">
        <f t="shared" si="3"/>
        <v>-0.10051835744633486</v>
      </c>
    </row>
    <row r="29" spans="2:6" ht="15.6" x14ac:dyDescent="0.4">
      <c r="B29" s="3">
        <v>4.8</v>
      </c>
      <c r="C29" s="4">
        <f t="shared" si="0"/>
        <v>9.9177025295097998</v>
      </c>
      <c r="D29" s="4">
        <f t="shared" si="1"/>
        <v>8.2297470490200197E-2</v>
      </c>
      <c r="E29" s="4">
        <f t="shared" si="2"/>
        <v>8.2297470490200197E-2</v>
      </c>
      <c r="F29" s="4">
        <f t="shared" si="3"/>
        <v>-8.2297470490200197E-2</v>
      </c>
    </row>
    <row r="30" spans="2:6" ht="15.6" x14ac:dyDescent="0.4">
      <c r="B30" s="3">
        <v>5</v>
      </c>
      <c r="C30" s="4">
        <f t="shared" si="0"/>
        <v>9.9326205300091459</v>
      </c>
      <c r="D30" s="4">
        <f t="shared" si="1"/>
        <v>6.7379469990854091E-2</v>
      </c>
      <c r="E30" s="4">
        <f t="shared" si="2"/>
        <v>6.7379469990854091E-2</v>
      </c>
      <c r="F30" s="4">
        <f t="shared" si="3"/>
        <v>-6.7379469990854091E-2</v>
      </c>
    </row>
  </sheetData>
  <mergeCells count="2">
    <mergeCell ref="C2:D2"/>
    <mergeCell ref="E2:F2"/>
  </mergeCells>
  <pageMargins left="0.7" right="0.7" top="0.78740157499999996" bottom="0.78740157499999996" header="0.3" footer="0.3"/>
  <ignoredErrors>
    <ignoredError sqref="E5 E6:E30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Ladekurve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Wolff</dc:creator>
  <cp:lastModifiedBy>Phillip Wolff</cp:lastModifiedBy>
  <dcterms:created xsi:type="dcterms:W3CDTF">2026-02-14T22:23:19Z</dcterms:created>
  <dcterms:modified xsi:type="dcterms:W3CDTF">2026-02-15T19:51:50Z</dcterms:modified>
</cp:coreProperties>
</file>